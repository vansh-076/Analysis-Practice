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c605c56c299d303f/Documents/"/>
    </mc:Choice>
  </mc:AlternateContent>
  <xr:revisionPtr revIDLastSave="652" documentId="8_{0457D0F6-6241-45AD-BB28-0EB0D1194094}" xr6:coauthVersionLast="47" xr6:coauthVersionMax="47" xr10:uidLastSave="{84A22982-0591-4E40-8B23-A4FCFCFF3162}"/>
  <bookViews>
    <workbookView xWindow="-108" yWindow="-108" windowWidth="23256" windowHeight="12456" firstSheet="1" activeTab="7" xr2:uid="{26D4546B-D2A1-4444-8EAF-A6228F96F0C1}"/>
  </bookViews>
  <sheets>
    <sheet name="Data" sheetId="1" r:id="rId1"/>
    <sheet name="India Staff" sheetId="2" r:id="rId2"/>
    <sheet name="Staff" sheetId="3" r:id="rId3"/>
    <sheet name="Finder" sheetId="5" r:id="rId4"/>
    <sheet name="Salary Distribution" sheetId="6" r:id="rId5"/>
    <sheet name="Running Total" sheetId="7" r:id="rId6"/>
    <sheet name="Headcount" sheetId="10" r:id="rId7"/>
    <sheet name="Final Dashboard" sheetId="9" r:id="rId8"/>
  </sheets>
  <definedNames>
    <definedName name="_xlnm._FilterDatabase" localSheetId="0" hidden="1">Data!$C$3:$I$103</definedName>
    <definedName name="_xlnm._FilterDatabase" localSheetId="1" hidden="1">'India Staff'!$B$2:$H$114</definedName>
    <definedName name="_xlchart.v1.0" hidden="1">Staff!$G$1</definedName>
    <definedName name="_xlchart.v1.1" hidden="1">Staff!$G$2:$G$185</definedName>
    <definedName name="_xlchart.v1.2" hidden="1">Staff!$G$1</definedName>
    <definedName name="_xlchart.v1.3" hidden="1">Staff!$G$2:$G$184</definedName>
    <definedName name="_xlcn.WorksheetConnection_blankdatafile.xlsxStaff1" hidden="1">Staff[]</definedName>
    <definedName name="ExternalData_1" localSheetId="2" hidden="1">Staff!$A$1:$H$184</definedName>
    <definedName name="Slicer_Country">#N/A</definedName>
    <definedName name="Slicer_Country1">#N/A</definedName>
  </definedNames>
  <calcPr calcId="191029"/>
  <pivotCaches>
    <pivotCache cacheId="19" r:id="rId9"/>
    <pivotCache cacheId="94" r:id="rId10"/>
    <pivotCache cacheId="96" r:id="rId11"/>
    <pivotCache cacheId="97" r:id="rId12"/>
    <pivotCache cacheId="128" r:id="rId13"/>
    <pivotCache cacheId="131" r:id="rId14"/>
  </pivotCaches>
  <extLst>
    <ext xmlns:x14="http://schemas.microsoft.com/office/spreadsheetml/2009/9/main" uri="{876F7934-8845-4945-9796-88D515C7AA90}">
      <x14:pivotCaches>
        <pivotCache cacheId="1"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aff" name="Staff" connection="WorksheetConnection_blank-data-file.xlsx!Staff"/>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 i="9" l="1"/>
  <c r="F6" i="9"/>
  <c r="H6" i="9"/>
  <c r="J6" i="9" s="1"/>
  <c r="B6" i="9"/>
  <c r="D6" i="9" s="1"/>
  <c r="S3" i="7" a="1"/>
  <c r="S3" i="7" s="1"/>
  <c r="J162" i="3"/>
  <c r="I162" i="3" s="1"/>
  <c r="K162" i="3" s="1"/>
  <c r="J18" i="3"/>
  <c r="I18" i="3" s="1"/>
  <c r="K18" i="3" s="1"/>
  <c r="J142" i="3"/>
  <c r="I142" i="3" s="1"/>
  <c r="K142" i="3" s="1"/>
  <c r="J20" i="3"/>
  <c r="I20" i="3" s="1"/>
  <c r="K20" i="3" s="1"/>
  <c r="J175" i="3"/>
  <c r="I175" i="3" s="1"/>
  <c r="K175" i="3" s="1"/>
  <c r="J46" i="3"/>
  <c r="I46" i="3" s="1"/>
  <c r="K46" i="3" s="1"/>
  <c r="J130" i="3"/>
  <c r="I130" i="3" s="1"/>
  <c r="K130" i="3" s="1"/>
  <c r="J124" i="3"/>
  <c r="I124" i="3" s="1"/>
  <c r="K124" i="3" s="1"/>
  <c r="J90" i="3"/>
  <c r="I90" i="3" s="1"/>
  <c r="K90" i="3" s="1"/>
  <c r="J156" i="3"/>
  <c r="I156" i="3" s="1"/>
  <c r="K156" i="3" s="1"/>
  <c r="J146" i="3"/>
  <c r="I146" i="3" s="1"/>
  <c r="K146" i="3" s="1"/>
  <c r="J134" i="3"/>
  <c r="I134" i="3" s="1"/>
  <c r="K134" i="3" s="1"/>
  <c r="J24" i="3"/>
  <c r="I24" i="3" s="1"/>
  <c r="K24" i="3" s="1"/>
  <c r="J8" i="3"/>
  <c r="I8" i="3" s="1"/>
  <c r="K8" i="3" s="1"/>
  <c r="J163" i="3"/>
  <c r="I163" i="3" s="1"/>
  <c r="K163" i="3" s="1"/>
  <c r="J32" i="3"/>
  <c r="I32" i="3" s="1"/>
  <c r="K32" i="3" s="1"/>
  <c r="J181" i="3"/>
  <c r="I181" i="3" s="1"/>
  <c r="K181" i="3" s="1"/>
  <c r="J82" i="3"/>
  <c r="I82" i="3" s="1"/>
  <c r="K82" i="3" s="1"/>
  <c r="J108" i="3"/>
  <c r="I108" i="3" s="1"/>
  <c r="K108" i="3" s="1"/>
  <c r="J102" i="3"/>
  <c r="I102" i="3" s="1"/>
  <c r="K102" i="3" s="1"/>
  <c r="J44" i="3"/>
  <c r="I44" i="3" s="1"/>
  <c r="K44" i="3" s="1"/>
  <c r="J120" i="3"/>
  <c r="I120" i="3" s="1"/>
  <c r="K120" i="3" s="1"/>
  <c r="J6" i="3"/>
  <c r="I6" i="3" s="1"/>
  <c r="K6" i="3" s="1"/>
  <c r="J92" i="3"/>
  <c r="I92" i="3" s="1"/>
  <c r="K92" i="3" s="1"/>
  <c r="J10" i="3"/>
  <c r="I10" i="3" s="1"/>
  <c r="K10" i="3" s="1"/>
  <c r="J140" i="3"/>
  <c r="I140" i="3" s="1"/>
  <c r="K140" i="3" s="1"/>
  <c r="J50" i="3"/>
  <c r="I50" i="3" s="1"/>
  <c r="K50" i="3" s="1"/>
  <c r="J171" i="3"/>
  <c r="I171" i="3" s="1"/>
  <c r="K171" i="3" s="1"/>
  <c r="J12" i="3"/>
  <c r="I12" i="3" s="1"/>
  <c r="K12" i="3" s="1"/>
  <c r="J160" i="3"/>
  <c r="I160" i="3" s="1"/>
  <c r="K160" i="3" s="1"/>
  <c r="J22" i="3"/>
  <c r="I22" i="3" s="1"/>
  <c r="K22" i="3" s="1"/>
  <c r="J70" i="3"/>
  <c r="I70" i="3" s="1"/>
  <c r="K70" i="3" s="1"/>
  <c r="J138" i="3"/>
  <c r="I138" i="3" s="1"/>
  <c r="K138" i="3" s="1"/>
  <c r="J110" i="3"/>
  <c r="I110" i="3" s="1"/>
  <c r="K110" i="3" s="1"/>
  <c r="J34" i="3"/>
  <c r="I34" i="3" s="1"/>
  <c r="K34" i="3" s="1"/>
  <c r="J158" i="3"/>
  <c r="I158" i="3" s="1"/>
  <c r="K158" i="3" s="1"/>
  <c r="J183" i="3"/>
  <c r="I183" i="3" s="1"/>
  <c r="K183" i="3" s="1"/>
  <c r="J165" i="3"/>
  <c r="I165" i="3" s="1"/>
  <c r="K165" i="3" s="1"/>
  <c r="J173" i="3"/>
  <c r="I173" i="3" s="1"/>
  <c r="K173" i="3" s="1"/>
  <c r="J30" i="3"/>
  <c r="I30" i="3" s="1"/>
  <c r="K30" i="3" s="1"/>
  <c r="J98" i="3"/>
  <c r="I98" i="3" s="1"/>
  <c r="K98" i="3" s="1"/>
  <c r="J36" i="3"/>
  <c r="I36" i="3" s="1"/>
  <c r="K36" i="3" s="1"/>
  <c r="J114" i="3"/>
  <c r="I114" i="3" s="1"/>
  <c r="K114" i="3" s="1"/>
  <c r="J2" i="3"/>
  <c r="I2" i="3" s="1"/>
  <c r="K2" i="3" s="1"/>
  <c r="J94" i="3"/>
  <c r="I94" i="3" s="1"/>
  <c r="K94" i="3" s="1"/>
  <c r="J52" i="3"/>
  <c r="I52" i="3" s="1"/>
  <c r="K52" i="3" s="1"/>
  <c r="J148" i="3"/>
  <c r="I148" i="3" s="1"/>
  <c r="K148" i="3" s="1"/>
  <c r="J48" i="3"/>
  <c r="I48" i="3" s="1"/>
  <c r="K48" i="3" s="1"/>
  <c r="J126" i="3"/>
  <c r="I126" i="3" s="1"/>
  <c r="K126" i="3" s="1"/>
  <c r="J84" i="3"/>
  <c r="I84" i="3" s="1"/>
  <c r="K84" i="3" s="1"/>
  <c r="J100" i="3"/>
  <c r="I100" i="3" s="1"/>
  <c r="K100" i="3" s="1"/>
  <c r="J122" i="3"/>
  <c r="I122" i="3" s="1"/>
  <c r="K122" i="3" s="1"/>
  <c r="J60" i="3"/>
  <c r="I60" i="3" s="1"/>
  <c r="K60" i="3" s="1"/>
  <c r="J177" i="3"/>
  <c r="I177" i="3" s="1"/>
  <c r="K177" i="3" s="1"/>
  <c r="J66" i="3"/>
  <c r="I66" i="3" s="1"/>
  <c r="K66" i="3" s="1"/>
  <c r="J64" i="3"/>
  <c r="I64" i="3" s="1"/>
  <c r="K64" i="3" s="1"/>
  <c r="J128" i="3"/>
  <c r="I128" i="3" s="1"/>
  <c r="K128" i="3" s="1"/>
  <c r="J28" i="3"/>
  <c r="I28" i="3" s="1"/>
  <c r="K28" i="3" s="1"/>
  <c r="J112" i="3"/>
  <c r="I112" i="3" s="1"/>
  <c r="K112" i="3" s="1"/>
  <c r="J118" i="3"/>
  <c r="I118" i="3" s="1"/>
  <c r="K118" i="3" s="1"/>
  <c r="J76" i="3"/>
  <c r="I76" i="3" s="1"/>
  <c r="K76" i="3" s="1"/>
  <c r="J38" i="3"/>
  <c r="I38" i="3" s="1"/>
  <c r="K38" i="3" s="1"/>
  <c r="J16" i="3"/>
  <c r="I16" i="3" s="1"/>
  <c r="K16" i="3" s="1"/>
  <c r="J154" i="3"/>
  <c r="I154" i="3" s="1"/>
  <c r="K154" i="3" s="1"/>
  <c r="J136" i="3"/>
  <c r="I136" i="3" s="1"/>
  <c r="K136" i="3" s="1"/>
  <c r="J14" i="3"/>
  <c r="I14" i="3" s="1"/>
  <c r="K14" i="3" s="1"/>
  <c r="J88" i="3"/>
  <c r="I88" i="3" s="1"/>
  <c r="K88" i="3" s="1"/>
  <c r="J167" i="3"/>
  <c r="I167" i="3" s="1"/>
  <c r="K167" i="3" s="1"/>
  <c r="J116" i="3"/>
  <c r="I116" i="3" s="1"/>
  <c r="K116" i="3" s="1"/>
  <c r="J39" i="3"/>
  <c r="I39" i="3" s="1"/>
  <c r="K39" i="3" s="1"/>
  <c r="J78" i="3"/>
  <c r="I78" i="3" s="1"/>
  <c r="K78" i="3" s="1"/>
  <c r="J72" i="3"/>
  <c r="I72" i="3" s="1"/>
  <c r="K72" i="3" s="1"/>
  <c r="J80" i="3"/>
  <c r="I80" i="3" s="1"/>
  <c r="K80" i="3" s="1"/>
  <c r="J58" i="3"/>
  <c r="I58" i="3" s="1"/>
  <c r="K58" i="3" s="1"/>
  <c r="J150" i="3"/>
  <c r="I150" i="3" s="1"/>
  <c r="K150" i="3" s="1"/>
  <c r="J179" i="3"/>
  <c r="I179" i="3" s="1"/>
  <c r="K179" i="3" s="1"/>
  <c r="J104" i="3"/>
  <c r="I104" i="3" s="1"/>
  <c r="K104" i="3" s="1"/>
  <c r="J169" i="3"/>
  <c r="I169" i="3" s="1"/>
  <c r="K169" i="3" s="1"/>
  <c r="J144" i="3"/>
  <c r="I144" i="3" s="1"/>
  <c r="K144" i="3" s="1"/>
  <c r="J74" i="3"/>
  <c r="I74" i="3" s="1"/>
  <c r="K74" i="3" s="1"/>
  <c r="J4" i="3"/>
  <c r="I4" i="3" s="1"/>
  <c r="K4" i="3" s="1"/>
  <c r="J62" i="3"/>
  <c r="I62" i="3" s="1"/>
  <c r="K62" i="3" s="1"/>
  <c r="J152" i="3"/>
  <c r="I152" i="3" s="1"/>
  <c r="K152" i="3" s="1"/>
  <c r="J68" i="3"/>
  <c r="I68" i="3" s="1"/>
  <c r="K68" i="3" s="1"/>
  <c r="J96" i="3"/>
  <c r="I96" i="3" s="1"/>
  <c r="K96" i="3" s="1"/>
  <c r="J42" i="3"/>
  <c r="I42" i="3" s="1"/>
  <c r="K42" i="3" s="1"/>
  <c r="J106" i="3"/>
  <c r="I106" i="3" s="1"/>
  <c r="K106" i="3" s="1"/>
  <c r="J54" i="3"/>
  <c r="I54" i="3" s="1"/>
  <c r="K54" i="3" s="1"/>
  <c r="J86" i="3"/>
  <c r="I86" i="3" s="1"/>
  <c r="K86" i="3" s="1"/>
  <c r="J56" i="3"/>
  <c r="I56" i="3" s="1"/>
  <c r="K56" i="3" s="1"/>
  <c r="J26" i="3"/>
  <c r="I26" i="3" s="1"/>
  <c r="K26" i="3" s="1"/>
  <c r="J132" i="3"/>
  <c r="I132" i="3" s="1"/>
  <c r="K132" i="3" s="1"/>
  <c r="J166" i="3"/>
  <c r="I166" i="3" s="1"/>
  <c r="K166" i="3" s="1"/>
  <c r="J87" i="3"/>
  <c r="I87" i="3" s="1"/>
  <c r="K87" i="3" s="1"/>
  <c r="J37" i="3"/>
  <c r="I37" i="3" s="1"/>
  <c r="K37" i="3" s="1"/>
  <c r="J176" i="3"/>
  <c r="I176" i="3" s="1"/>
  <c r="K176" i="3" s="1"/>
  <c r="J40" i="3"/>
  <c r="I40" i="3" s="1"/>
  <c r="K40" i="3" s="1"/>
  <c r="J161" i="3"/>
  <c r="I161" i="3" s="1"/>
  <c r="K161" i="3" s="1"/>
  <c r="J27" i="3"/>
  <c r="I27" i="3" s="1"/>
  <c r="K27" i="3" s="1"/>
  <c r="J63" i="3"/>
  <c r="I63" i="3" s="1"/>
  <c r="K63" i="3" s="1"/>
  <c r="J43" i="3"/>
  <c r="I43" i="3" s="1"/>
  <c r="K43" i="3" s="1"/>
  <c r="J184" i="3"/>
  <c r="I184" i="3" s="1"/>
  <c r="K184" i="3" s="1"/>
  <c r="J159" i="3"/>
  <c r="I159" i="3" s="1"/>
  <c r="K159" i="3" s="1"/>
  <c r="J69" i="3"/>
  <c r="I69" i="3" s="1"/>
  <c r="K69" i="3" s="1"/>
  <c r="J79" i="3"/>
  <c r="I79" i="3" s="1"/>
  <c r="K79" i="3" s="1"/>
  <c r="J153" i="3"/>
  <c r="I153" i="3" s="1"/>
  <c r="K153" i="3" s="1"/>
  <c r="J19" i="3"/>
  <c r="I19" i="3" s="1"/>
  <c r="K19" i="3" s="1"/>
  <c r="J137" i="3"/>
  <c r="I137" i="3" s="1"/>
  <c r="K137" i="3" s="1"/>
  <c r="J9" i="3"/>
  <c r="I9" i="3" s="1"/>
  <c r="K9" i="3" s="1"/>
  <c r="J49" i="3"/>
  <c r="I49" i="3" s="1"/>
  <c r="K49" i="3" s="1"/>
  <c r="J15" i="3"/>
  <c r="I15" i="3" s="1"/>
  <c r="K15" i="3" s="1"/>
  <c r="J99" i="3"/>
  <c r="I99" i="3" s="1"/>
  <c r="K99" i="3" s="1"/>
  <c r="J53" i="3"/>
  <c r="I53" i="3" s="1"/>
  <c r="K53" i="3" s="1"/>
  <c r="J73" i="3"/>
  <c r="I73" i="3" s="1"/>
  <c r="K73" i="3" s="1"/>
  <c r="J51" i="3"/>
  <c r="I51" i="3" s="1"/>
  <c r="K51" i="3" s="1"/>
  <c r="J31" i="3"/>
  <c r="I31" i="3" s="1"/>
  <c r="K31" i="3" s="1"/>
  <c r="J65" i="3"/>
  <c r="I65" i="3" s="1"/>
  <c r="K65" i="3" s="1"/>
  <c r="J93" i="3"/>
  <c r="I93" i="3" s="1"/>
  <c r="K93" i="3" s="1"/>
  <c r="J119" i="3"/>
  <c r="I119" i="3" s="1"/>
  <c r="K119" i="3" s="1"/>
  <c r="J5" i="3"/>
  <c r="I5" i="3" s="1"/>
  <c r="K5" i="3" s="1"/>
  <c r="J101" i="3"/>
  <c r="I101" i="3" s="1"/>
  <c r="K101" i="3" s="1"/>
  <c r="J59" i="3"/>
  <c r="I59" i="3" s="1"/>
  <c r="K59" i="3" s="1"/>
  <c r="J97" i="3"/>
  <c r="I97" i="3" s="1"/>
  <c r="K97" i="3" s="1"/>
  <c r="J178" i="3"/>
  <c r="I178" i="3" s="1"/>
  <c r="K178" i="3" s="1"/>
  <c r="J107" i="3"/>
  <c r="I107" i="3" s="1"/>
  <c r="K107" i="3" s="1"/>
  <c r="J157" i="3"/>
  <c r="I157" i="3" s="1"/>
  <c r="K157" i="3" s="1"/>
  <c r="J33" i="3"/>
  <c r="I33" i="3" s="1"/>
  <c r="K33" i="3" s="1"/>
  <c r="J139" i="3"/>
  <c r="I139" i="3" s="1"/>
  <c r="K139" i="3" s="1"/>
  <c r="J133" i="3"/>
  <c r="I133" i="3" s="1"/>
  <c r="K133" i="3" s="1"/>
  <c r="J143" i="3"/>
  <c r="I143" i="3" s="1"/>
  <c r="K143" i="3" s="1"/>
  <c r="J29" i="3"/>
  <c r="I29" i="3" s="1"/>
  <c r="K29" i="3" s="1"/>
  <c r="J35" i="3"/>
  <c r="I35" i="3" s="1"/>
  <c r="K35" i="3" s="1"/>
  <c r="J105" i="3"/>
  <c r="I105" i="3" s="1"/>
  <c r="K105" i="3" s="1"/>
  <c r="J117" i="3"/>
  <c r="I117" i="3" s="1"/>
  <c r="K117" i="3" s="1"/>
  <c r="J113" i="3"/>
  <c r="I113" i="3" s="1"/>
  <c r="K113" i="3" s="1"/>
  <c r="J129" i="3"/>
  <c r="I129" i="3" s="1"/>
  <c r="K129" i="3" s="1"/>
  <c r="J164" i="3"/>
  <c r="I164" i="3" s="1"/>
  <c r="K164" i="3" s="1"/>
  <c r="J109" i="3"/>
  <c r="I109" i="3" s="1"/>
  <c r="K109" i="3" s="1"/>
  <c r="J77" i="3"/>
  <c r="I77" i="3" s="1"/>
  <c r="K77" i="3" s="1"/>
  <c r="J111" i="3"/>
  <c r="I111" i="3" s="1"/>
  <c r="K111" i="3" s="1"/>
  <c r="J55" i="3"/>
  <c r="I55" i="3" s="1"/>
  <c r="K55" i="3" s="1"/>
  <c r="J182" i="3"/>
  <c r="I182" i="3" s="1"/>
  <c r="K182" i="3" s="1"/>
  <c r="J25" i="3"/>
  <c r="I25" i="3" s="1"/>
  <c r="K25" i="3" s="1"/>
  <c r="J21" i="3"/>
  <c r="I21" i="3" s="1"/>
  <c r="K21" i="3" s="1"/>
  <c r="J174" i="3"/>
  <c r="I174" i="3" s="1"/>
  <c r="K174" i="3" s="1"/>
  <c r="J83" i="3"/>
  <c r="I83" i="3" s="1"/>
  <c r="K83" i="3" s="1"/>
  <c r="J89" i="3"/>
  <c r="I89" i="3" s="1"/>
  <c r="K89" i="3" s="1"/>
  <c r="J155" i="3"/>
  <c r="I155" i="3" s="1"/>
  <c r="K155" i="3" s="1"/>
  <c r="J168" i="3"/>
  <c r="I168" i="3" s="1"/>
  <c r="K168" i="3" s="1"/>
  <c r="J81" i="3"/>
  <c r="I81" i="3" s="1"/>
  <c r="K81" i="3" s="1"/>
  <c r="J180" i="3"/>
  <c r="I180" i="3" s="1"/>
  <c r="K180" i="3" s="1"/>
  <c r="J103" i="3"/>
  <c r="I103" i="3" s="1"/>
  <c r="K103" i="3" s="1"/>
  <c r="J172" i="3"/>
  <c r="I172" i="3" s="1"/>
  <c r="K172" i="3" s="1"/>
  <c r="J125" i="3"/>
  <c r="I125" i="3" s="1"/>
  <c r="K125" i="3" s="1"/>
  <c r="J149" i="3"/>
  <c r="I149" i="3" s="1"/>
  <c r="K149" i="3" s="1"/>
  <c r="J45" i="3"/>
  <c r="I45" i="3" s="1"/>
  <c r="K45" i="3" s="1"/>
  <c r="J123" i="3"/>
  <c r="I123" i="3" s="1"/>
  <c r="K123" i="3" s="1"/>
  <c r="J47" i="3"/>
  <c r="I47" i="3" s="1"/>
  <c r="K47" i="3" s="1"/>
  <c r="J131" i="3"/>
  <c r="I131" i="3" s="1"/>
  <c r="K131" i="3" s="1"/>
  <c r="J71" i="3"/>
  <c r="I71" i="3" s="1"/>
  <c r="K71" i="3" s="1"/>
  <c r="J23" i="3"/>
  <c r="I23" i="3" s="1"/>
  <c r="K23" i="3" s="1"/>
  <c r="J61" i="3"/>
  <c r="I61" i="3" s="1"/>
  <c r="K61" i="3" s="1"/>
  <c r="J145" i="3"/>
  <c r="I145" i="3" s="1"/>
  <c r="K145" i="3" s="1"/>
  <c r="J121" i="3"/>
  <c r="I121" i="3" s="1"/>
  <c r="K121" i="3" s="1"/>
  <c r="J141" i="3"/>
  <c r="I141" i="3" s="1"/>
  <c r="K141" i="3" s="1"/>
  <c r="J170" i="3"/>
  <c r="I170" i="3" s="1"/>
  <c r="K170" i="3" s="1"/>
  <c r="J3" i="3"/>
  <c r="I3" i="3" s="1"/>
  <c r="K3" i="3" s="1"/>
  <c r="J151" i="3"/>
  <c r="I151" i="3" s="1"/>
  <c r="K151" i="3" s="1"/>
  <c r="J11" i="3"/>
  <c r="I11" i="3" s="1"/>
  <c r="K11" i="3" s="1"/>
  <c r="J127" i="3"/>
  <c r="I127" i="3" s="1"/>
  <c r="K127" i="3" s="1"/>
  <c r="J7" i="3"/>
  <c r="I7" i="3" s="1"/>
  <c r="K7" i="3" s="1"/>
  <c r="J147" i="3"/>
  <c r="I147" i="3" s="1"/>
  <c r="K147" i="3" s="1"/>
  <c r="J135" i="3"/>
  <c r="I135" i="3" s="1"/>
  <c r="K135" i="3" s="1"/>
  <c r="J115" i="3"/>
  <c r="I115" i="3" s="1"/>
  <c r="K115" i="3" s="1"/>
  <c r="J17" i="3"/>
  <c r="I17" i="3" s="1"/>
  <c r="K17" i="3" s="1"/>
  <c r="J57" i="3"/>
  <c r="I57" i="3" s="1"/>
  <c r="K57" i="3" s="1"/>
  <c r="J67" i="3"/>
  <c r="I67" i="3" s="1"/>
  <c r="K67" i="3" s="1"/>
  <c r="J13" i="3"/>
  <c r="I13" i="3" s="1"/>
  <c r="K13" i="3" s="1"/>
  <c r="J95" i="3"/>
  <c r="I95" i="3" s="1"/>
  <c r="K95" i="3" s="1"/>
  <c r="J91" i="3"/>
  <c r="I91" i="3" s="1"/>
  <c r="K91" i="3" s="1"/>
  <c r="J75" i="3"/>
  <c r="I75" i="3" s="1"/>
  <c r="K75" i="3" s="1"/>
  <c r="J85" i="3"/>
  <c r="I85" i="3" s="1"/>
  <c r="K85" i="3" s="1"/>
  <c r="J41" i="3"/>
  <c r="I41" i="3" s="1"/>
  <c r="K41" i="3" s="1"/>
  <c r="O12" i="3"/>
  <c r="O11" i="3"/>
  <c r="O10" i="3"/>
  <c r="P8" i="3"/>
  <c r="P7" i="3"/>
  <c r="O8" i="3"/>
  <c r="O7" i="3"/>
  <c r="O6" i="3"/>
  <c r="T3" i="7" l="1" a="1"/>
  <c r="T3" i="7" s="1"/>
  <c r="A8" i="5" a="1"/>
  <c r="A8" i="5" s="1"/>
  <c r="B5" i="5"/>
  <c r="O19" i="3" a="1"/>
  <c r="O19" i="3" s="1"/>
  <c r="O31" i="3" a="1"/>
  <c r="O31" i="3" s="1"/>
  <c r="P9" i="3"/>
  <c r="O9" i="3"/>
  <c r="U3" i="7" l="1"/>
  <c r="U11" i="7"/>
  <c r="U19" i="7"/>
  <c r="U27" i="7"/>
  <c r="U35" i="7"/>
  <c r="U4" i="7"/>
  <c r="U12" i="7"/>
  <c r="U20" i="7"/>
  <c r="U28" i="7"/>
  <c r="U36" i="7"/>
  <c r="U25" i="7"/>
  <c r="U5" i="7"/>
  <c r="U13" i="7"/>
  <c r="U21" i="7"/>
  <c r="U29" i="7"/>
  <c r="U37" i="7"/>
  <c r="U6" i="7"/>
  <c r="U14" i="7"/>
  <c r="U22" i="7"/>
  <c r="U30" i="7"/>
  <c r="U38" i="7"/>
  <c r="U17" i="7"/>
  <c r="U7" i="7"/>
  <c r="U15" i="7"/>
  <c r="U23" i="7"/>
  <c r="U31" i="7"/>
  <c r="U9" i="7"/>
  <c r="U8" i="7"/>
  <c r="U16" i="7"/>
  <c r="U24" i="7"/>
  <c r="U32" i="7"/>
  <c r="U33" i="7"/>
  <c r="U10" i="7"/>
  <c r="U18" i="7"/>
  <c r="U26" i="7"/>
  <c r="U34" i="7"/>
  <c r="V13" i="7" l="1"/>
  <c r="V10" i="7"/>
  <c r="V16" i="7"/>
  <c r="V22" i="7"/>
  <c r="V36" i="7"/>
  <c r="V19" i="7"/>
  <c r="V17" i="7"/>
  <c r="V23" i="7"/>
  <c r="V37" i="7"/>
  <c r="V12" i="7"/>
  <c r="V11" i="7"/>
  <c r="V9" i="7"/>
  <c r="V15" i="7"/>
  <c r="V29" i="7"/>
  <c r="V4" i="7"/>
  <c r="V18" i="7"/>
  <c r="V24" i="7"/>
  <c r="V30" i="7"/>
  <c r="V5" i="7"/>
  <c r="V35" i="7"/>
  <c r="V33" i="7"/>
  <c r="V3" i="7"/>
  <c r="V14" i="7"/>
  <c r="V28" i="7"/>
  <c r="V34" i="7"/>
  <c r="V8" i="7"/>
  <c r="V7" i="7"/>
  <c r="V21" i="7"/>
  <c r="V27" i="7"/>
  <c r="V25" i="7"/>
  <c r="V31" i="7"/>
  <c r="V6" i="7"/>
  <c r="V20" i="7"/>
  <c r="V26" i="7"/>
  <c r="V32" i="7"/>
  <c r="V38"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3C2F81-348A-45CE-BCC1-27676016E108}" keepAlive="1" name="Query - Ind Data" description="Connection to the 'Ind Data' query in the workbook." type="5" refreshedVersion="0" background="1">
    <dbPr connection="Provider=Microsoft.Mashup.OleDb.1;Data Source=$Workbook$;Location=&quot;Ind Data&quot;;Extended Properties=&quot;&quot;" command="SELECT * FROM [Ind Data]"/>
  </connection>
  <connection id="2" xr16:uid="{DCD0D86D-293D-4F14-955F-81B84BE1F4AE}" keepAlive="1" name="Query - Nz data" description="Connection to the 'Nz data' query in the workbook." type="5" refreshedVersion="0" background="1">
    <dbPr connection="Provider=Microsoft.Mashup.OleDb.1;Data Source=$Workbook$;Location=&quot;Nz data&quot;;Extended Properties=&quot;&quot;" command="SELECT * FROM [Nz data]"/>
  </connection>
  <connection id="3" xr16:uid="{C435FBEF-8924-4601-8949-D3CEC7D118E8}" keepAlive="1" name="Query - Staff" description="Connection to the 'Staff' query in the workbook." type="5" refreshedVersion="8" background="1" saveData="1">
    <dbPr connection="Provider=Microsoft.Mashup.OleDb.1;Data Source=$Workbook$;Location=Staff;Extended Properties=&quot;&quot;" command="SELECT * FROM [Staff]"/>
  </connection>
  <connection id="4" xr16:uid="{DF57FA73-C0D0-4061-B68E-BE65B505954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1A3034E9-F4C1-4D2D-B0C2-EC08D2D8513F}" name="WorksheetConnection_blank-data-file.xlsx!Staff" type="102" refreshedVersion="8" minRefreshableVersion="5">
    <extLst>
      <ext xmlns:x15="http://schemas.microsoft.com/office/spreadsheetml/2010/11/main" uri="{DE250136-89BD-433C-8126-D09CA5730AF9}">
        <x15:connection id="Staff" autoDelete="1">
          <x15:rangePr sourceName="_xlcn.WorksheetConnection_blankdatafile.xlsxStaff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3">
    <s v="ThisWorkbookDataModel"/>
    <s v="{[Staff].[Country].&amp;[Ind]}"/>
    <s v="{[Staff].[Country].&amp;[Nz]}"/>
  </metadataStrings>
  <mdxMetadata count="2">
    <mdx n="0" f="s">
      <ms ns="1" c="0"/>
    </mdx>
    <mdx n="0" f="s">
      <ms ns="2" c="0"/>
    </mdx>
  </mdxMetadata>
  <futureMetadata name="XLDAPR" count="1">
    <bk>
      <extLst>
        <ext uri="{bdbb8cdc-fa1e-496e-a857-3c3f30c029c3}">
          <xda:dynamicArrayProperties fDynamic="1" fCollapsed="0"/>
        </ext>
      </extLst>
    </bk>
  </futureMetadata>
  <cellMetadata count="1">
    <bk>
      <rc t="1" v="0"/>
    </bk>
  </cellMetadata>
  <valueMetadata count="2">
    <bk>
      <rc t="2" v="0"/>
    </bk>
    <bk>
      <rc t="2" v="1"/>
    </bk>
  </valueMetadata>
</metadata>
</file>

<file path=xl/sharedStrings.xml><?xml version="1.0" encoding="utf-8"?>
<sst xmlns="http://schemas.openxmlformats.org/spreadsheetml/2006/main" count="1936" uniqueCount="260">
  <si>
    <t>Name</t>
  </si>
  <si>
    <t>Gender</t>
  </si>
  <si>
    <t>Department</t>
  </si>
  <si>
    <t>Age</t>
  </si>
  <si>
    <t>Date Joined</t>
  </si>
  <si>
    <t>Salary</t>
  </si>
  <si>
    <t>Rating</t>
  </si>
  <si>
    <t>Barr Faughny</t>
  </si>
  <si>
    <t>Female</t>
  </si>
  <si>
    <t>Procurement</t>
  </si>
  <si>
    <t>Exceptional</t>
  </si>
  <si>
    <t>Dennison Crosswaite</t>
  </si>
  <si>
    <t>Website</t>
  </si>
  <si>
    <t>Above average</t>
  </si>
  <si>
    <t>Gunar Cockshoot</t>
  </si>
  <si>
    <t>Male</t>
  </si>
  <si>
    <t>Average</t>
  </si>
  <si>
    <t>Wilone O'Kielt</t>
  </si>
  <si>
    <t>Gigi Bohling</t>
  </si>
  <si>
    <t>Sales</t>
  </si>
  <si>
    <t>Curtice Advani</t>
  </si>
  <si>
    <t>Finance</t>
  </si>
  <si>
    <t>Kaine Padly</t>
  </si>
  <si>
    <t>Ches Bonnell</t>
  </si>
  <si>
    <t>Poor</t>
  </si>
  <si>
    <t>Andria Kimpton</t>
  </si>
  <si>
    <t>Brien Boise</t>
  </si>
  <si>
    <t>Husein Augar</t>
  </si>
  <si>
    <t>Karlen McCaffrey</t>
  </si>
  <si>
    <t>Jan Morforth</t>
  </si>
  <si>
    <t>Dotty Strutley</t>
  </si>
  <si>
    <t>Kelci Walkden</t>
  </si>
  <si>
    <t>Marney O'Breen</t>
  </si>
  <si>
    <t>Rafaelita Blaksland</t>
  </si>
  <si>
    <t>Madelene Upcott</t>
  </si>
  <si>
    <t>Beverie Moffet</t>
  </si>
  <si>
    <t>Oby Sorrel</t>
  </si>
  <si>
    <t>Mallorie Waber</t>
  </si>
  <si>
    <t>Jehu Rudeforth</t>
  </si>
  <si>
    <t>Van Tuxwell</t>
  </si>
  <si>
    <t>Roddy Speechley</t>
  </si>
  <si>
    <t>Camilla Castle</t>
  </si>
  <si>
    <t>Very poor</t>
  </si>
  <si>
    <t>Janene Hairsine</t>
  </si>
  <si>
    <t>Niall Selesnick</t>
  </si>
  <si>
    <t>Ebonee Roxburgh</t>
  </si>
  <si>
    <t>Zach Polon</t>
  </si>
  <si>
    <t>Orton Livick</t>
  </si>
  <si>
    <t>Gray Seamon</t>
  </si>
  <si>
    <t>Benny Karolovsky</t>
  </si>
  <si>
    <t>Dyna Doucette</t>
  </si>
  <si>
    <t>Erin Androsik</t>
  </si>
  <si>
    <t>Madge McCloughen</t>
  </si>
  <si>
    <t>Esmaria Denecamp</t>
  </si>
  <si>
    <t>Hogan Iles</t>
  </si>
  <si>
    <t>Valentia Etteridge</t>
  </si>
  <si>
    <t>HR</t>
  </si>
  <si>
    <t>Archibald Filliskirk</t>
  </si>
  <si>
    <t>Lindy Guillet</t>
  </si>
  <si>
    <t>Dell Molloy</t>
  </si>
  <si>
    <t>Ewart Laphorn</t>
  </si>
  <si>
    <t>Vic Radolf</t>
  </si>
  <si>
    <t>Virginia McConville</t>
  </si>
  <si>
    <t>Kaye Crocroft</t>
  </si>
  <si>
    <t>Mollie Hanway</t>
  </si>
  <si>
    <t>Hoyt D'Alesco</t>
  </si>
  <si>
    <t>Crissie Cordel</t>
  </si>
  <si>
    <t>Myer McCory</t>
  </si>
  <si>
    <t>Enoch Dowrey</t>
  </si>
  <si>
    <t>Kissiah Maydway</t>
  </si>
  <si>
    <t>Ambros Murthwaite</t>
  </si>
  <si>
    <t>Torrance Collier</t>
  </si>
  <si>
    <t>Allene Gobbet</t>
  </si>
  <si>
    <t>Violante Courtonne</t>
  </si>
  <si>
    <t>Merrilee Plenty</t>
  </si>
  <si>
    <t>Tatum Hush</t>
  </si>
  <si>
    <t>Kath Bletsoe</t>
  </si>
  <si>
    <t>Hinda Label</t>
  </si>
  <si>
    <t>Shari McNee</t>
  </si>
  <si>
    <t>My Hanscome</t>
  </si>
  <si>
    <t>Drusy MacCombe</t>
  </si>
  <si>
    <t>Halimeda Kuscha</t>
  </si>
  <si>
    <t>William Reeveley</t>
  </si>
  <si>
    <t>Tracy Renad</t>
  </si>
  <si>
    <t>Kassi Jonson</t>
  </si>
  <si>
    <t>Constantino Espley</t>
  </si>
  <si>
    <t>Gretchen Callow</t>
  </si>
  <si>
    <t>Bev Lashley</t>
  </si>
  <si>
    <t>Sibyl Dunkirk</t>
  </si>
  <si>
    <t>Alta Kaszper</t>
  </si>
  <si>
    <t>Shayne Stegel</t>
  </si>
  <si>
    <t>Hyacinthie Braybrooke</t>
  </si>
  <si>
    <t>Agnes Collicott</t>
  </si>
  <si>
    <t>Teressa Udden</t>
  </si>
  <si>
    <t>Bennie Pepis</t>
  </si>
  <si>
    <t>Elia Cockton</t>
  </si>
  <si>
    <t>Cherlyn Barter</t>
  </si>
  <si>
    <t>Murry Dryburgh</t>
  </si>
  <si>
    <t>Mahalia Larcher</t>
  </si>
  <si>
    <t>Bili Sizey</t>
  </si>
  <si>
    <t>Lilyan Klimpt</t>
  </si>
  <si>
    <t>Caro Chappel</t>
  </si>
  <si>
    <t>Leilah Yesinin</t>
  </si>
  <si>
    <t>Collin Jagson</t>
  </si>
  <si>
    <t>Kellsie Waby</t>
  </si>
  <si>
    <t>Simon Kembery</t>
  </si>
  <si>
    <t>Tawnya Tickel</t>
  </si>
  <si>
    <t>Bernie Gorges</t>
  </si>
  <si>
    <t>Florinda Crace</t>
  </si>
  <si>
    <t>Oran Buxcy</t>
  </si>
  <si>
    <t>Employee Data</t>
  </si>
  <si>
    <t>Nanak Sapna</t>
  </si>
  <si>
    <t>Karuna Pashupathy</t>
  </si>
  <si>
    <t>Amal Nimesh</t>
  </si>
  <si>
    <t>Ramnath Ravuri</t>
  </si>
  <si>
    <t>Yauvani Tarpa</t>
  </si>
  <si>
    <t>Upendra Swati</t>
  </si>
  <si>
    <t>Hridaynath Tendulkar</t>
  </si>
  <si>
    <t>Gangadutt Ragha</t>
  </si>
  <si>
    <t>Rameshwari Chikodi</t>
  </si>
  <si>
    <t>Pratigya Rema</t>
  </si>
  <si>
    <t>Kantimoy Pritish</t>
  </si>
  <si>
    <t>Tarala Vishaal</t>
  </si>
  <si>
    <t>Ardhendu Abhichandra Jayakar</t>
  </si>
  <si>
    <t>Jagajeet Viraj</t>
  </si>
  <si>
    <t>Shattesh Utpat</t>
  </si>
  <si>
    <t>Agrata Rajarama</t>
  </si>
  <si>
    <t>Sawini Chandan</t>
  </si>
  <si>
    <t>Damayanti Thangavadivelu</t>
  </si>
  <si>
    <t>Indu Varada Sumedh</t>
  </si>
  <si>
    <t>Krittika Gaekwad</t>
  </si>
  <si>
    <t>Mardav Ramaswami</t>
  </si>
  <si>
    <t>Lalit Kothari</t>
  </si>
  <si>
    <t>Bhuvan Pals</t>
  </si>
  <si>
    <t>Sarayu Ragunathan</t>
  </si>
  <si>
    <t>Ayog Chakrabarti</t>
  </si>
  <si>
    <t>Shevantilal Muppala</t>
  </si>
  <si>
    <t>Suchira Bhanupriya Tapti</t>
  </si>
  <si>
    <t>Mahindra Sreedharan</t>
  </si>
  <si>
    <t>Chitrasen Laul</t>
  </si>
  <si>
    <t>Akbar Sorabhjee</t>
  </si>
  <si>
    <t>Shulabh Qutub Sundaramoorthy</t>
  </si>
  <si>
    <t>Sahila Chandrasekhar</t>
  </si>
  <si>
    <t>Satyendra Venkatadri</t>
  </si>
  <si>
    <t>Piyali Mahanthapa</t>
  </si>
  <si>
    <t>Rukma Vinita</t>
  </si>
  <si>
    <t>Vanmala Shriharsha</t>
  </si>
  <si>
    <t>Sarojini Naueshwara</t>
  </si>
  <si>
    <t>Kaishori Harathi Kateel</t>
  </si>
  <si>
    <t>Shobhana Samuel</t>
  </si>
  <si>
    <t>Krishnakanta Vellanki</t>
  </si>
  <si>
    <t>Shiuli Sapna</t>
  </si>
  <si>
    <t>Anjushri Chandiramani</t>
  </si>
  <si>
    <t>Fullara Sushanti Mokate</t>
  </si>
  <si>
    <t>Shreela Ramasubraman</t>
  </si>
  <si>
    <t>Gumwant Veera</t>
  </si>
  <si>
    <t>Deepali Charan</t>
  </si>
  <si>
    <t>Geena Raghavanpillai</t>
  </si>
  <si>
    <t>Prerana Nishita</t>
  </si>
  <si>
    <t>Shekhar Eswara</t>
  </si>
  <si>
    <t>Kamalakshi Mukundan</t>
  </si>
  <si>
    <t>Sahas Sanabhi Shrikant</t>
  </si>
  <si>
    <t>Ranajay Kailashnath Richa</t>
  </si>
  <si>
    <t>Sukhdev Nageshwar</t>
  </si>
  <si>
    <t>Rushil Kripa</t>
  </si>
  <si>
    <t>Daruka Ghazali</t>
  </si>
  <si>
    <t>Godavari Veena</t>
  </si>
  <si>
    <t>Anumati Shyamari Meherhomji</t>
  </si>
  <si>
    <t>Abhaya Priyavardhan</t>
  </si>
  <si>
    <t>Purnendu Vijayarangan</t>
  </si>
  <si>
    <t>Sameer Shashank Sapra</t>
  </si>
  <si>
    <t>Asija Pothireddy</t>
  </si>
  <si>
    <t>Rupak Mehra</t>
  </si>
  <si>
    <t>Makshi Vinutha</t>
  </si>
  <si>
    <t>Pragya Nilufar</t>
  </si>
  <si>
    <t>Dhruv Manjunath</t>
  </si>
  <si>
    <t>Yagna Sujeev</t>
  </si>
  <si>
    <t>Mithil Nadkarni</t>
  </si>
  <si>
    <t>Bandhula Sathyanna</t>
  </si>
  <si>
    <t>Shubhra Potla</t>
  </si>
  <si>
    <t>Narois Motiwala</t>
  </si>
  <si>
    <t>Madhumati Gazala Soumitra</t>
  </si>
  <si>
    <t>Sanchali Shirish</t>
  </si>
  <si>
    <t>Chandana Sannidhi Surnilla</t>
  </si>
  <si>
    <t>Devasree Fullara Saurin</t>
  </si>
  <si>
    <t>Kunja Prashanta Vibha</t>
  </si>
  <si>
    <t>Kevalkumar Solanki</t>
  </si>
  <si>
    <t>Kulbhushan Moorthy</t>
  </si>
  <si>
    <t>Hemavati Muthiah</t>
  </si>
  <si>
    <t>Sartaj Probal</t>
  </si>
  <si>
    <t>Jaishree Atasi Yavatkar</t>
  </si>
  <si>
    <t>Ilesh Dasgupta</t>
  </si>
  <si>
    <t>Waheeda Vasuman</t>
  </si>
  <si>
    <t>Vinanti Choudhari</t>
  </si>
  <si>
    <t>Manjusri Ruchi</t>
  </si>
  <si>
    <t>Deepit Ranjana</t>
  </si>
  <si>
    <t>Amlankusum Rajabhushan</t>
  </si>
  <si>
    <t>Udyan Lanka</t>
  </si>
  <si>
    <t>Baruna Ogale</t>
  </si>
  <si>
    <t>Heer Pennathur</t>
  </si>
  <si>
    <t>Vasu Nandin</t>
  </si>
  <si>
    <t>Madhavdas Buhpathi</t>
  </si>
  <si>
    <t>Mirium Seemantini Shivakumar</t>
  </si>
  <si>
    <t>Country</t>
  </si>
  <si>
    <t>Ind</t>
  </si>
  <si>
    <t>Other</t>
  </si>
  <si>
    <t>Nz</t>
  </si>
  <si>
    <t>count of Employees</t>
  </si>
  <si>
    <t>Average Age</t>
  </si>
  <si>
    <t>Average Salary</t>
  </si>
  <si>
    <t>Female Ratio %</t>
  </si>
  <si>
    <t>Average Tenure</t>
  </si>
  <si>
    <t>Tenure</t>
  </si>
  <si>
    <t>median</t>
  </si>
  <si>
    <t>values</t>
  </si>
  <si>
    <t>summary</t>
  </si>
  <si>
    <t>Male Ratio %</t>
  </si>
  <si>
    <t>% Salary &gt; 90,000$</t>
  </si>
  <si>
    <t>xlookup</t>
  </si>
  <si>
    <t>vlookup</t>
  </si>
  <si>
    <t>Grand Total</t>
  </si>
  <si>
    <t>Count</t>
  </si>
  <si>
    <t>Count of Name</t>
  </si>
  <si>
    <t>Number of Employee</t>
  </si>
  <si>
    <t>Bonus</t>
  </si>
  <si>
    <t>Final Salary</t>
  </si>
  <si>
    <t>Column Labels</t>
  </si>
  <si>
    <t>Average of Age</t>
  </si>
  <si>
    <t>Values</t>
  </si>
  <si>
    <t>Average of Salary</t>
  </si>
  <si>
    <t>Average of Tenure</t>
  </si>
  <si>
    <t>StdDev of Age</t>
  </si>
  <si>
    <t>StdDev of Salary</t>
  </si>
  <si>
    <t>StdDev of Tenure</t>
  </si>
  <si>
    <t>Row Labels</t>
  </si>
  <si>
    <t>Ratings</t>
  </si>
  <si>
    <t>Count of Employee</t>
  </si>
  <si>
    <t>2022</t>
  </si>
  <si>
    <t>2020</t>
  </si>
  <si>
    <t>2021</t>
  </si>
  <si>
    <t>2023</t>
  </si>
  <si>
    <t>May</t>
  </si>
  <si>
    <t>Jun</t>
  </si>
  <si>
    <t>Jul</t>
  </si>
  <si>
    <t>Aug</t>
  </si>
  <si>
    <t>Sep</t>
  </si>
  <si>
    <t>Oct</t>
  </si>
  <si>
    <t>Nov</t>
  </si>
  <si>
    <t>Dec</t>
  </si>
  <si>
    <t>Jan</t>
  </si>
  <si>
    <t>Feb</t>
  </si>
  <si>
    <t>Mar</t>
  </si>
  <si>
    <t>Apr</t>
  </si>
  <si>
    <t>Months</t>
  </si>
  <si>
    <t>RunningTotal</t>
  </si>
  <si>
    <t xml:space="preserve"> Index</t>
  </si>
  <si>
    <t>Total Employee</t>
  </si>
  <si>
    <t>Head Count By Department</t>
  </si>
  <si>
    <t>Max of Tenure</t>
  </si>
  <si>
    <t>Min of Tenure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</si>
</sst>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 #,##0.00;[Red]&quot;₹&quot;\ \-#,##0.00"/>
    <numFmt numFmtId="44" formatCode="_ &quot;₹&quot;\ * #,##0.00_ ;_ &quot;₹&quot;\ * \-#,##0.00_ ;_ &quot;₹&quot;\ * &quot;-&quot;??_ ;_ @_ "/>
    <numFmt numFmtId="164" formatCode="_-[$$-409]* #,##0.00_ ;_-[$$-409]* \-#,##0.00\ ;_-[$$-409]* &quot;-&quot;??_ ;_-@_ "/>
    <numFmt numFmtId="167" formatCode="[$-F800]dddd\,\ mmmm\ dd\,\ yyyy"/>
  </numFmts>
  <fonts count="16" x14ac:knownFonts="1">
    <font>
      <sz val="11"/>
      <color theme="1"/>
      <name val="Calibri"/>
      <family val="2"/>
      <scheme val="minor"/>
    </font>
    <font>
      <sz val="28"/>
      <color theme="1"/>
      <name val="Segoe UI Light"/>
      <family val="2"/>
    </font>
    <font>
      <b/>
      <sz val="15"/>
      <color theme="3"/>
      <name val="Calibri"/>
      <family val="2"/>
      <scheme val="minor"/>
    </font>
    <font>
      <sz val="11"/>
      <color rgb="FF3F3F76"/>
      <name val="Calibri"/>
      <family val="2"/>
      <scheme val="minor"/>
    </font>
    <font>
      <i/>
      <sz val="11"/>
      <color rgb="FF7F7F7F"/>
      <name val="Calibri"/>
      <family val="2"/>
      <scheme val="minor"/>
    </font>
    <font>
      <b/>
      <sz val="11"/>
      <color theme="1"/>
      <name val="Calibri"/>
      <family val="2"/>
      <scheme val="minor"/>
    </font>
    <font>
      <i/>
      <sz val="16"/>
      <color rgb="FF7F7F7F"/>
      <name val="Calibri"/>
      <family val="2"/>
      <scheme val="minor"/>
    </font>
    <font>
      <b/>
      <sz val="20"/>
      <color theme="3"/>
      <name val="Calibri"/>
      <family val="2"/>
      <scheme val="minor"/>
    </font>
    <font>
      <b/>
      <sz val="18"/>
      <color theme="1"/>
      <name val="Calibri"/>
      <family val="2"/>
      <scheme val="minor"/>
    </font>
    <font>
      <b/>
      <sz val="20"/>
      <color theme="1"/>
      <name val="Calibri"/>
      <family val="2"/>
      <scheme val="minor"/>
    </font>
    <font>
      <sz val="18"/>
      <color rgb="FF3F3F76"/>
      <name val="Calibri"/>
      <family val="2"/>
      <scheme val="minor"/>
    </font>
    <font>
      <sz val="11"/>
      <color theme="1"/>
      <name val="Calibri"/>
      <family val="2"/>
      <scheme val="minor"/>
    </font>
    <font>
      <sz val="22"/>
      <color theme="1"/>
      <name val="Segoe UI Black"/>
      <family val="2"/>
    </font>
    <font>
      <sz val="48"/>
      <color theme="1"/>
      <name val="Segoe UI Black"/>
      <family val="2"/>
    </font>
    <font>
      <b/>
      <sz val="18"/>
      <color theme="2"/>
      <name val="Segoe UI"/>
      <family val="2"/>
    </font>
    <font>
      <sz val="22"/>
      <color theme="1"/>
      <name val="Amasis MT Pro Black"/>
      <family val="1"/>
    </font>
  </fonts>
  <fills count="11">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rgb="FFFFCC99"/>
      </patternFill>
    </fill>
    <fill>
      <patternFill patternType="solid">
        <fgColor theme="5" tint="0.79998168889431442"/>
        <bgColor theme="5" tint="0.79998168889431442"/>
      </patternFill>
    </fill>
    <fill>
      <patternFill patternType="solid">
        <fgColor rgb="FFFF0000"/>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0"/>
        <bgColor indexed="64"/>
      </patternFill>
    </fill>
    <fill>
      <patternFill patternType="solid">
        <fgColor theme="5" tint="-0.249977111117893"/>
        <bgColor indexed="64"/>
      </patternFill>
    </fill>
  </fills>
  <borders count="4">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style="thin">
        <color theme="5" tint="0.39997558519241921"/>
      </left>
      <right style="thin">
        <color theme="5" tint="0.39997558519241921"/>
      </right>
      <top style="thin">
        <color theme="5" tint="0.39997558519241921"/>
      </top>
      <bottom style="thin">
        <color theme="5" tint="0.39997558519241921"/>
      </bottom>
      <diagonal/>
    </border>
  </borders>
  <cellStyleXfs count="6">
    <xf numFmtId="0" fontId="0" fillId="0" borderId="0"/>
    <xf numFmtId="0" fontId="2" fillId="0" borderId="1" applyNumberFormat="0" applyFill="0" applyAlignment="0" applyProtection="0"/>
    <xf numFmtId="0" fontId="3" fillId="4" borderId="2" applyNumberFormat="0" applyAlignment="0" applyProtection="0"/>
    <xf numFmtId="0" fontId="4" fillId="0" borderId="0" applyNumberFormat="0" applyFill="0" applyBorder="0" applyAlignment="0" applyProtection="0"/>
    <xf numFmtId="44" fontId="11" fillId="0" borderId="0" applyFont="0" applyFill="0" applyBorder="0" applyAlignment="0" applyProtection="0"/>
    <xf numFmtId="9" fontId="11" fillId="0" borderId="0" applyFont="0" applyFill="0" applyBorder="0" applyAlignment="0" applyProtection="0"/>
  </cellStyleXfs>
  <cellXfs count="47">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15" fontId="0" fillId="0" borderId="0" xfId="0" applyNumberFormat="1"/>
    <xf numFmtId="8" fontId="0" fillId="0" borderId="0" xfId="0" applyNumberFormat="1"/>
    <xf numFmtId="164" fontId="0" fillId="0" borderId="0" xfId="0" applyNumberFormat="1"/>
    <xf numFmtId="14" fontId="0" fillId="0" borderId="0" xfId="0" applyNumberFormat="1"/>
    <xf numFmtId="0" fontId="5" fillId="5" borderId="3" xfId="0" applyFont="1" applyFill="1" applyBorder="1"/>
    <xf numFmtId="2" fontId="0" fillId="0" borderId="0" xfId="0" applyNumberFormat="1"/>
    <xf numFmtId="49" fontId="0" fillId="0" borderId="0" xfId="0" applyNumberFormat="1"/>
    <xf numFmtId="10" fontId="0" fillId="0" borderId="0" xfId="0" applyNumberFormat="1"/>
    <xf numFmtId="9" fontId="0" fillId="0" borderId="0" xfId="0" applyNumberFormat="1"/>
    <xf numFmtId="0" fontId="2" fillId="6" borderId="1" xfId="1" applyFill="1" applyAlignment="1">
      <alignment horizontal="center"/>
    </xf>
    <xf numFmtId="2" fontId="5" fillId="5" borderId="3" xfId="0" applyNumberFormat="1" applyFont="1" applyFill="1" applyBorder="1"/>
    <xf numFmtId="14" fontId="0" fillId="5" borderId="3" xfId="0" applyNumberFormat="1" applyFill="1" applyBorder="1" applyAlignment="1">
      <alignment horizontal="right"/>
    </xf>
    <xf numFmtId="2" fontId="0" fillId="5" borderId="3" xfId="0" applyNumberFormat="1" applyFill="1" applyBorder="1" applyAlignment="1">
      <alignment horizontal="right"/>
    </xf>
    <xf numFmtId="164" fontId="0" fillId="5" borderId="3" xfId="0" applyNumberFormat="1" applyFill="1" applyBorder="1" applyAlignment="1">
      <alignment horizontal="right"/>
    </xf>
    <xf numFmtId="49" fontId="0" fillId="5" borderId="3" xfId="0" applyNumberFormat="1" applyFill="1" applyBorder="1" applyAlignment="1">
      <alignment horizontal="right"/>
    </xf>
    <xf numFmtId="0" fontId="2" fillId="7" borderId="1" xfId="1" applyFill="1" applyAlignment="1">
      <alignment horizontal="center"/>
    </xf>
    <xf numFmtId="0" fontId="6" fillId="0" borderId="0" xfId="3" applyFont="1"/>
    <xf numFmtId="0" fontId="7" fillId="6" borderId="1" xfId="1" applyFont="1" applyFill="1"/>
    <xf numFmtId="0" fontId="8" fillId="0" borderId="0" xfId="0" applyFont="1"/>
    <xf numFmtId="0" fontId="9" fillId="0" borderId="0" xfId="0" applyFont="1"/>
    <xf numFmtId="0" fontId="10" fillId="4" borderId="2" xfId="2" applyFont="1" applyAlignment="1">
      <alignment horizontal="right"/>
    </xf>
    <xf numFmtId="0" fontId="8" fillId="5" borderId="3" xfId="0" applyFont="1" applyFill="1" applyBorder="1"/>
    <xf numFmtId="0" fontId="0" fillId="0" borderId="0" xfId="0" pivotButton="1"/>
    <xf numFmtId="0" fontId="0" fillId="0" borderId="0" xfId="0" applyAlignment="1">
      <alignment horizontal="left"/>
    </xf>
    <xf numFmtId="0" fontId="0" fillId="0" borderId="0" xfId="0" applyNumberFormat="1"/>
    <xf numFmtId="0" fontId="7" fillId="6" borderId="1" xfId="1" applyFont="1" applyFill="1" applyAlignment="1">
      <alignment horizontal="center"/>
    </xf>
    <xf numFmtId="164" fontId="0" fillId="0" borderId="0" xfId="4" applyNumberFormat="1" applyFont="1"/>
    <xf numFmtId="0" fontId="0" fillId="0" borderId="0" xfId="0" applyAlignment="1">
      <alignment horizontal="left" indent="1"/>
    </xf>
    <xf numFmtId="167" fontId="0" fillId="0" borderId="0" xfId="0" applyNumberFormat="1"/>
    <xf numFmtId="0" fontId="0" fillId="8" borderId="0" xfId="0" applyFill="1"/>
    <xf numFmtId="0" fontId="0" fillId="9" borderId="0" xfId="0" applyFill="1"/>
    <xf numFmtId="0" fontId="13" fillId="10" borderId="0" xfId="0" applyFont="1" applyFill="1" applyAlignment="1">
      <alignment horizontal="center" vertical="center"/>
    </xf>
    <xf numFmtId="0" fontId="13" fillId="2" borderId="0" xfId="0" applyFont="1" applyFill="1" applyAlignment="1">
      <alignment horizontal="center" vertical="center"/>
    </xf>
    <xf numFmtId="9" fontId="13" fillId="2" borderId="0" xfId="5" applyFont="1" applyFill="1" applyAlignment="1">
      <alignment horizontal="center" vertical="center"/>
    </xf>
    <xf numFmtId="164" fontId="12" fillId="2" borderId="0" xfId="0" applyNumberFormat="1" applyFont="1" applyFill="1" applyAlignment="1">
      <alignment horizontal="center" vertical="center"/>
    </xf>
    <xf numFmtId="9" fontId="13" fillId="10" borderId="0" xfId="5" applyFont="1" applyFill="1" applyAlignment="1">
      <alignment horizontal="center" vertical="center"/>
    </xf>
    <xf numFmtId="164" fontId="12" fillId="10" borderId="0" xfId="0" applyNumberFormat="1" applyFont="1" applyFill="1" applyAlignment="1">
      <alignment horizontal="center" vertical="center"/>
    </xf>
    <xf numFmtId="0" fontId="13" fillId="2" borderId="0" xfId="0" applyFont="1" applyFill="1" applyAlignment="1">
      <alignment horizontal="center" vertical="center"/>
    </xf>
    <xf numFmtId="0" fontId="13" fillId="10" borderId="0" xfId="0" applyFont="1" applyFill="1" applyAlignment="1">
      <alignment horizontal="center" vertical="center"/>
    </xf>
    <xf numFmtId="0" fontId="13" fillId="9" borderId="0" xfId="0" applyFont="1" applyFill="1" applyAlignment="1">
      <alignment horizontal="center" vertical="center"/>
    </xf>
    <xf numFmtId="0" fontId="14" fillId="2" borderId="0" xfId="0" applyFont="1" applyFill="1" applyAlignment="1">
      <alignment horizontal="center" vertical="center"/>
    </xf>
    <xf numFmtId="0" fontId="14" fillId="10" borderId="0" xfId="0" applyFont="1" applyFill="1" applyAlignment="1">
      <alignment horizontal="center" vertical="center"/>
    </xf>
    <xf numFmtId="0" fontId="15" fillId="0" borderId="0" xfId="0" applyFont="1" applyAlignment="1">
      <alignment horizontal="center" vertical="center"/>
    </xf>
  </cellXfs>
  <cellStyles count="6">
    <cellStyle name="Currency" xfId="4" builtinId="4"/>
    <cellStyle name="Explanatory Text" xfId="3" builtinId="53"/>
    <cellStyle name="Heading 1" xfId="1" builtinId="16"/>
    <cellStyle name="Input" xfId="2" builtinId="20"/>
    <cellStyle name="Normal" xfId="0" builtinId="0"/>
    <cellStyle name="Percent" xfId="5" builtinId="5"/>
  </cellStyles>
  <dxfs count="21">
    <dxf>
      <font>
        <color rgb="FF9C0006"/>
      </font>
      <fill>
        <patternFill>
          <bgColor rgb="FFFFC7CE"/>
        </patternFill>
      </fill>
    </dxf>
    <dxf>
      <font>
        <color rgb="FF9C0006"/>
      </font>
      <fill>
        <patternFill>
          <bgColor rgb="FFFFC7CE"/>
        </patternFill>
      </fill>
    </dxf>
    <dxf>
      <numFmt numFmtId="164" formatCode="_-[$$-409]* #,##0.00_ ;_-[$$-409]* \-#,##0.00\ ;_-[$$-409]* &quot;-&quot;??_ ;_-@_ "/>
    </dxf>
    <dxf>
      <numFmt numFmtId="0" formatCode="General"/>
    </dxf>
    <dxf>
      <numFmt numFmtId="0" formatCode="General"/>
    </dxf>
    <dxf>
      <alignment horizontal="general" vertical="bottom" textRotation="0" wrapText="0" indent="0" justifyLastLine="0" shrinkToFit="0" readingOrder="0"/>
    </dxf>
    <dxf>
      <numFmt numFmtId="14" formatCode="0.0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_-[$$-409]* #,##0.00_ ;_-[$$-409]* \-#,##0.00\ ;_-[$$-409]* &quot;-&quot;??_ ;_-@_ "/>
    </dxf>
    <dxf>
      <numFmt numFmtId="2" formatCode="0.00"/>
    </dxf>
    <dxf>
      <numFmt numFmtId="164" formatCode="_-[$$-409]* #,##0.00_ ;_-[$$-409]* \-#,##0.00\ ;_-[$$-409]* &quot;-&quot;??_ ;_-@_ "/>
    </dxf>
    <dxf>
      <numFmt numFmtId="19" formatCode="dd/mm/yyyy"/>
    </dxf>
    <dxf>
      <numFmt numFmtId="0" formatCode="General"/>
    </dxf>
    <dxf>
      <numFmt numFmtId="0" formatCode="General"/>
    </dxf>
    <dxf>
      <numFmt numFmtId="0" formatCode="General"/>
    </dxf>
    <dxf>
      <numFmt numFmtId="0" formatCode="General"/>
    </dxf>
    <dxf>
      <numFmt numFmtId="12" formatCode="&quot;₹&quot;\ #,##0.00;[Red]&quot;₹&quot;\ \-#,##0.00"/>
    </dxf>
    <dxf>
      <numFmt numFmtId="20" formatCode="dd/mmm/yy"/>
    </dxf>
    <dxf>
      <numFmt numFmtId="164"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2.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powerPivotData" Target="model/item.data"/><Relationship Id="rId10" Type="http://schemas.openxmlformats.org/officeDocument/2006/relationships/pivotCacheDefinition" Target="pivotCache/pivotCacheDefinition2.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[blank-data-file.xlsx]Running Total!PivotTable3</c:name>
    <c:fmtId val="1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Running Total</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'Running Total'!$K$4</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'Running Total'!$J$5:$J$41</c:f>
              <c:multiLvlStrCache>
                <c:ptCount val="32"/>
                <c:lvl>
                  <c:pt idx="0">
                    <c:v>May</c:v>
                  </c:pt>
                  <c:pt idx="1">
                    <c:v>Jun</c:v>
                  </c:pt>
                  <c:pt idx="2">
                    <c:v>Jul</c:v>
                  </c:pt>
                  <c:pt idx="3">
                    <c:v>Aug</c:v>
                  </c:pt>
                  <c:pt idx="4">
                    <c:v>Sep</c:v>
                  </c:pt>
                  <c:pt idx="5">
                    <c:v>Oct</c:v>
                  </c:pt>
                  <c:pt idx="6">
                    <c:v>Nov</c:v>
                  </c:pt>
                  <c:pt idx="7">
                    <c:v>Dec</c:v>
                  </c:pt>
                  <c:pt idx="8">
                    <c:v>Jan</c:v>
                  </c:pt>
                  <c:pt idx="9">
                    <c:v>Feb</c:v>
                  </c:pt>
                  <c:pt idx="10">
                    <c:v>Mar</c:v>
                  </c:pt>
                  <c:pt idx="11">
                    <c:v>Apr</c:v>
                  </c:pt>
                  <c:pt idx="12">
                    <c:v>May</c:v>
                  </c:pt>
                  <c:pt idx="13">
                    <c:v>Jun</c:v>
                  </c:pt>
                  <c:pt idx="14">
                    <c:v>Jul</c:v>
                  </c:pt>
                  <c:pt idx="15">
                    <c:v>Aug</c:v>
                  </c:pt>
                  <c:pt idx="16">
                    <c:v>Sep</c:v>
                  </c:pt>
                  <c:pt idx="17">
                    <c:v>Oct</c:v>
                  </c:pt>
                  <c:pt idx="18">
                    <c:v>Nov</c:v>
                  </c:pt>
                  <c:pt idx="19">
                    <c:v>Dec</c:v>
                  </c:pt>
                  <c:pt idx="20">
                    <c:v>Jan</c:v>
                  </c:pt>
                  <c:pt idx="21">
                    <c:v>Feb</c:v>
                  </c:pt>
                  <c:pt idx="22">
                    <c:v>Mar</c:v>
                  </c:pt>
                  <c:pt idx="23">
                    <c:v>Apr</c:v>
                  </c:pt>
                  <c:pt idx="24">
                    <c:v>May</c:v>
                  </c:pt>
                  <c:pt idx="25">
                    <c:v>Jun</c:v>
                  </c:pt>
                  <c:pt idx="26">
                    <c:v>Jul</c:v>
                  </c:pt>
                  <c:pt idx="27">
                    <c:v>Aug</c:v>
                  </c:pt>
                  <c:pt idx="28">
                    <c:v>Sep</c:v>
                  </c:pt>
                  <c:pt idx="29">
                    <c:v>Oct</c:v>
                  </c:pt>
                  <c:pt idx="30">
                    <c:v>Feb</c:v>
                  </c:pt>
                  <c:pt idx="31">
                    <c:v>Apr</c:v>
                  </c:pt>
                </c:lvl>
                <c:lvl>
                  <c:pt idx="0">
                    <c:v>2020</c:v>
                  </c:pt>
                  <c:pt idx="8">
                    <c:v>2021</c:v>
                  </c:pt>
                  <c:pt idx="20">
                    <c:v>2022</c:v>
                  </c:pt>
                  <c:pt idx="30">
                    <c:v>2023</c:v>
                  </c:pt>
                </c:lvl>
              </c:multiLvlStrCache>
            </c:multiLvlStrRef>
          </c:cat>
          <c:val>
            <c:numRef>
              <c:f>'Running Total'!$K$5:$K$41</c:f>
              <c:numCache>
                <c:formatCode>General</c:formatCode>
                <c:ptCount val="32"/>
                <c:pt idx="0">
                  <c:v>3</c:v>
                </c:pt>
                <c:pt idx="1">
                  <c:v>4</c:v>
                </c:pt>
                <c:pt idx="2">
                  <c:v>9</c:v>
                </c:pt>
                <c:pt idx="3">
                  <c:v>12</c:v>
                </c:pt>
                <c:pt idx="4">
                  <c:v>18</c:v>
                </c:pt>
                <c:pt idx="5">
                  <c:v>24</c:v>
                </c:pt>
                <c:pt idx="6">
                  <c:v>30</c:v>
                </c:pt>
                <c:pt idx="7">
                  <c:v>37</c:v>
                </c:pt>
                <c:pt idx="8">
                  <c:v>6</c:v>
                </c:pt>
                <c:pt idx="9">
                  <c:v>10</c:v>
                </c:pt>
                <c:pt idx="10">
                  <c:v>19</c:v>
                </c:pt>
                <c:pt idx="11">
                  <c:v>24</c:v>
                </c:pt>
                <c:pt idx="12">
                  <c:v>34</c:v>
                </c:pt>
                <c:pt idx="13">
                  <c:v>40</c:v>
                </c:pt>
                <c:pt idx="14">
                  <c:v>53</c:v>
                </c:pt>
                <c:pt idx="15">
                  <c:v>57</c:v>
                </c:pt>
                <c:pt idx="16">
                  <c:v>68</c:v>
                </c:pt>
                <c:pt idx="17">
                  <c:v>71</c:v>
                </c:pt>
                <c:pt idx="18">
                  <c:v>75</c:v>
                </c:pt>
                <c:pt idx="19">
                  <c:v>82</c:v>
                </c:pt>
                <c:pt idx="20">
                  <c:v>3</c:v>
                </c:pt>
                <c:pt idx="21">
                  <c:v>13</c:v>
                </c:pt>
                <c:pt idx="22">
                  <c:v>22</c:v>
                </c:pt>
                <c:pt idx="23">
                  <c:v>31</c:v>
                </c:pt>
                <c:pt idx="24">
                  <c:v>40</c:v>
                </c:pt>
                <c:pt idx="25">
                  <c:v>47</c:v>
                </c:pt>
                <c:pt idx="26">
                  <c:v>52</c:v>
                </c:pt>
                <c:pt idx="27">
                  <c:v>57</c:v>
                </c:pt>
                <c:pt idx="28">
                  <c:v>59</c:v>
                </c:pt>
                <c:pt idx="29">
                  <c:v>62</c:v>
                </c:pt>
                <c:pt idx="30">
                  <c:v>1</c:v>
                </c:pt>
                <c:pt idx="31">
                  <c:v>2</c:v>
                </c:pt>
              </c:numCache>
            </c:numRef>
          </c:val>
          <c:smooth val="0"/>
          <c:extLst>
            <c:ext xmlns:c16="http://schemas.microsoft.com/office/drawing/2014/chart" uri="{C3380CC4-5D6E-409C-BE32-E72D297353CC}">
              <c16:uniqueId val="{00000000-F111-4E67-92A8-F6BE56226B61}"/>
            </c:ext>
          </c:extLst>
        </c:ser>
        <c:dLbls>
          <c:showLegendKey val="0"/>
          <c:showVal val="0"/>
          <c:showCatName val="0"/>
          <c:showSerName val="0"/>
          <c:showPercent val="0"/>
          <c:showBubbleSize val="0"/>
        </c:dLbls>
        <c:marker val="1"/>
        <c:smooth val="0"/>
        <c:axId val="551155232"/>
        <c:axId val="551154752"/>
      </c:lineChart>
      <c:catAx>
        <c:axId val="55115523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1154752"/>
        <c:crosses val="autoZero"/>
        <c:auto val="1"/>
        <c:lblAlgn val="ctr"/>
        <c:lblOffset val="100"/>
        <c:noMultiLvlLbl val="0"/>
      </c:catAx>
      <c:valAx>
        <c:axId val="5511547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1155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[blank-data-file.xlsx]Running Total!PivotTable1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Department</a:t>
            </a:r>
            <a:r>
              <a:rPr lang="en-IN" baseline="0"/>
              <a:t> vs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'Running Total'!$C$6:$C$7</c:f>
              <c:strCache>
                <c:ptCount val="1"/>
                <c:pt idx="0">
                  <c:v>Exceptional</c:v>
                </c:pt>
              </c:strCache>
            </c:strRef>
          </c:tx>
          <c:spPr>
            <a:solidFill>
              <a:schemeClr val="accent1"/>
            </a:solidFill>
            <a:ln>
              <a:noFill/>
            </a:ln>
            <a:effectLst/>
          </c:spPr>
          <c:invertIfNegative val="0"/>
          <c:cat>
            <c:strRef>
              <c:f>'Running Total'!$B$8:$B$13</c:f>
              <c:strCache>
                <c:ptCount val="5"/>
                <c:pt idx="0">
                  <c:v>Finance</c:v>
                </c:pt>
                <c:pt idx="1">
                  <c:v>HR</c:v>
                </c:pt>
                <c:pt idx="2">
                  <c:v>Procurement</c:v>
                </c:pt>
                <c:pt idx="3">
                  <c:v>Sales</c:v>
                </c:pt>
                <c:pt idx="4">
                  <c:v>Website</c:v>
                </c:pt>
              </c:strCache>
            </c:strRef>
          </c:cat>
          <c:val>
            <c:numRef>
              <c:f>'Running Total'!$C$8:$C$13</c:f>
              <c:numCache>
                <c:formatCode>General</c:formatCode>
                <c:ptCount val="5"/>
                <c:pt idx="2">
                  <c:v>2</c:v>
                </c:pt>
                <c:pt idx="3">
                  <c:v>2</c:v>
                </c:pt>
              </c:numCache>
            </c:numRef>
          </c:val>
          <c:extLst>
            <c:ext xmlns:c16="http://schemas.microsoft.com/office/drawing/2014/chart" uri="{C3380CC4-5D6E-409C-BE32-E72D297353CC}">
              <c16:uniqueId val="{00000000-DBB3-4A73-978D-7BBE69E32687}"/>
            </c:ext>
          </c:extLst>
        </c:ser>
        <c:ser>
          <c:idx val="1"/>
          <c:order val="1"/>
          <c:tx>
            <c:strRef>
              <c:f>'Running Total'!$D$6:$D$7</c:f>
              <c:strCache>
                <c:ptCount val="1"/>
                <c:pt idx="0">
                  <c:v>Above average</c:v>
                </c:pt>
              </c:strCache>
            </c:strRef>
          </c:tx>
          <c:spPr>
            <a:solidFill>
              <a:schemeClr val="accent2"/>
            </a:solidFill>
            <a:ln>
              <a:noFill/>
            </a:ln>
            <a:effectLst/>
          </c:spPr>
          <c:invertIfNegative val="0"/>
          <c:cat>
            <c:strRef>
              <c:f>'Running Total'!$B$8:$B$13</c:f>
              <c:strCache>
                <c:ptCount val="5"/>
                <c:pt idx="0">
                  <c:v>Finance</c:v>
                </c:pt>
                <c:pt idx="1">
                  <c:v>HR</c:v>
                </c:pt>
                <c:pt idx="2">
                  <c:v>Procurement</c:v>
                </c:pt>
                <c:pt idx="3">
                  <c:v>Sales</c:v>
                </c:pt>
                <c:pt idx="4">
                  <c:v>Website</c:v>
                </c:pt>
              </c:strCache>
            </c:strRef>
          </c:cat>
          <c:val>
            <c:numRef>
              <c:f>'Running Total'!$D$8:$D$13</c:f>
              <c:numCache>
                <c:formatCode>General</c:formatCode>
                <c:ptCount val="5"/>
                <c:pt idx="0">
                  <c:v>4</c:v>
                </c:pt>
                <c:pt idx="2">
                  <c:v>6</c:v>
                </c:pt>
                <c:pt idx="3">
                  <c:v>4</c:v>
                </c:pt>
                <c:pt idx="4">
                  <c:v>6</c:v>
                </c:pt>
              </c:numCache>
            </c:numRef>
          </c:val>
          <c:extLst>
            <c:ext xmlns:c16="http://schemas.microsoft.com/office/drawing/2014/chart" uri="{C3380CC4-5D6E-409C-BE32-E72D297353CC}">
              <c16:uniqueId val="{00000006-DBB3-4A73-978D-7BBE69E32687}"/>
            </c:ext>
          </c:extLst>
        </c:ser>
        <c:ser>
          <c:idx val="2"/>
          <c:order val="2"/>
          <c:tx>
            <c:strRef>
              <c:f>'Running Total'!$E$6:$E$7</c:f>
              <c:strCache>
                <c:ptCount val="1"/>
                <c:pt idx="0">
                  <c:v>Average</c:v>
                </c:pt>
              </c:strCache>
            </c:strRef>
          </c:tx>
          <c:spPr>
            <a:solidFill>
              <a:schemeClr val="accent3"/>
            </a:solidFill>
            <a:ln>
              <a:noFill/>
            </a:ln>
            <a:effectLst/>
          </c:spPr>
          <c:invertIfNegative val="0"/>
          <c:cat>
            <c:strRef>
              <c:f>'Running Total'!$B$8:$B$13</c:f>
              <c:strCache>
                <c:ptCount val="5"/>
                <c:pt idx="0">
                  <c:v>Finance</c:v>
                </c:pt>
                <c:pt idx="1">
                  <c:v>HR</c:v>
                </c:pt>
                <c:pt idx="2">
                  <c:v>Procurement</c:v>
                </c:pt>
                <c:pt idx="3">
                  <c:v>Sales</c:v>
                </c:pt>
                <c:pt idx="4">
                  <c:v>Website</c:v>
                </c:pt>
              </c:strCache>
            </c:strRef>
          </c:cat>
          <c:val>
            <c:numRef>
              <c:f>'Running Total'!$E$8:$E$13</c:f>
              <c:numCache>
                <c:formatCode>General</c:formatCode>
                <c:ptCount val="5"/>
                <c:pt idx="0">
                  <c:v>26</c:v>
                </c:pt>
                <c:pt idx="1">
                  <c:v>8</c:v>
                </c:pt>
                <c:pt idx="2">
                  <c:v>45</c:v>
                </c:pt>
                <c:pt idx="3">
                  <c:v>16</c:v>
                </c:pt>
                <c:pt idx="4">
                  <c:v>42</c:v>
                </c:pt>
              </c:numCache>
            </c:numRef>
          </c:val>
          <c:extLst>
            <c:ext xmlns:c16="http://schemas.microsoft.com/office/drawing/2014/chart" uri="{C3380CC4-5D6E-409C-BE32-E72D297353CC}">
              <c16:uniqueId val="{00000007-DBB3-4A73-978D-7BBE69E32687}"/>
            </c:ext>
          </c:extLst>
        </c:ser>
        <c:ser>
          <c:idx val="3"/>
          <c:order val="3"/>
          <c:tx>
            <c:strRef>
              <c:f>'Running Total'!$F$6:$F$7</c:f>
              <c:strCache>
                <c:ptCount val="1"/>
                <c:pt idx="0">
                  <c:v>Poor</c:v>
                </c:pt>
              </c:strCache>
            </c:strRef>
          </c:tx>
          <c:spPr>
            <a:solidFill>
              <a:schemeClr val="accent4"/>
            </a:solidFill>
            <a:ln>
              <a:noFill/>
            </a:ln>
            <a:effectLst/>
          </c:spPr>
          <c:invertIfNegative val="0"/>
          <c:cat>
            <c:strRef>
              <c:f>'Running Total'!$B$8:$B$13</c:f>
              <c:strCache>
                <c:ptCount val="5"/>
                <c:pt idx="0">
                  <c:v>Finance</c:v>
                </c:pt>
                <c:pt idx="1">
                  <c:v>HR</c:v>
                </c:pt>
                <c:pt idx="2">
                  <c:v>Procurement</c:v>
                </c:pt>
                <c:pt idx="3">
                  <c:v>Sales</c:v>
                </c:pt>
                <c:pt idx="4">
                  <c:v>Website</c:v>
                </c:pt>
              </c:strCache>
            </c:strRef>
          </c:cat>
          <c:val>
            <c:numRef>
              <c:f>'Running Total'!$F$8:$F$13</c:f>
              <c:numCache>
                <c:formatCode>General</c:formatCode>
                <c:ptCount val="5"/>
                <c:pt idx="0">
                  <c:v>8</c:v>
                </c:pt>
                <c:pt idx="3">
                  <c:v>4</c:v>
                </c:pt>
                <c:pt idx="4">
                  <c:v>4</c:v>
                </c:pt>
              </c:numCache>
            </c:numRef>
          </c:val>
          <c:extLst>
            <c:ext xmlns:c16="http://schemas.microsoft.com/office/drawing/2014/chart" uri="{C3380CC4-5D6E-409C-BE32-E72D297353CC}">
              <c16:uniqueId val="{00000008-DBB3-4A73-978D-7BBE69E32687}"/>
            </c:ext>
          </c:extLst>
        </c:ser>
        <c:ser>
          <c:idx val="4"/>
          <c:order val="4"/>
          <c:tx>
            <c:strRef>
              <c:f>'Running Total'!$G$6:$G$7</c:f>
              <c:strCache>
                <c:ptCount val="1"/>
                <c:pt idx="0">
                  <c:v>Very poor</c:v>
                </c:pt>
              </c:strCache>
            </c:strRef>
          </c:tx>
          <c:spPr>
            <a:solidFill>
              <a:schemeClr val="accent5"/>
            </a:solidFill>
            <a:ln>
              <a:noFill/>
            </a:ln>
            <a:effectLst/>
          </c:spPr>
          <c:invertIfNegative val="0"/>
          <c:cat>
            <c:strRef>
              <c:f>'Running Total'!$B$8:$B$13</c:f>
              <c:strCache>
                <c:ptCount val="5"/>
                <c:pt idx="0">
                  <c:v>Finance</c:v>
                </c:pt>
                <c:pt idx="1">
                  <c:v>HR</c:v>
                </c:pt>
                <c:pt idx="2">
                  <c:v>Procurement</c:v>
                </c:pt>
                <c:pt idx="3">
                  <c:v>Sales</c:v>
                </c:pt>
                <c:pt idx="4">
                  <c:v>Website</c:v>
                </c:pt>
              </c:strCache>
            </c:strRef>
          </c:cat>
          <c:val>
            <c:numRef>
              <c:f>'Running Total'!$G$8:$G$13</c:f>
              <c:numCache>
                <c:formatCode>General</c:formatCode>
                <c:ptCount val="5"/>
                <c:pt idx="2">
                  <c:v>2</c:v>
                </c:pt>
                <c:pt idx="3">
                  <c:v>2</c:v>
                </c:pt>
                <c:pt idx="4">
                  <c:v>2</c:v>
                </c:pt>
              </c:numCache>
            </c:numRef>
          </c:val>
          <c:extLst>
            <c:ext xmlns:c16="http://schemas.microsoft.com/office/drawing/2014/chart" uri="{C3380CC4-5D6E-409C-BE32-E72D297353CC}">
              <c16:uniqueId val="{00000009-DBB3-4A73-978D-7BBE69E32687}"/>
            </c:ext>
          </c:extLst>
        </c:ser>
        <c:dLbls>
          <c:showLegendKey val="0"/>
          <c:showVal val="0"/>
          <c:showCatName val="0"/>
          <c:showSerName val="0"/>
          <c:showPercent val="0"/>
          <c:showBubbleSize val="0"/>
        </c:dLbls>
        <c:gapWidth val="219"/>
        <c:overlap val="-27"/>
        <c:axId val="1444170160"/>
        <c:axId val="1444171120"/>
      </c:barChart>
      <c:catAx>
        <c:axId val="144417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171120"/>
        <c:crosses val="autoZero"/>
        <c:auto val="1"/>
        <c:lblAlgn val="ctr"/>
        <c:lblOffset val="100"/>
        <c:noMultiLvlLbl val="0"/>
      </c:catAx>
      <c:valAx>
        <c:axId val="1444171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17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'Running Total'!$V$2</c:f>
              <c:strCache>
                <c:ptCount val="1"/>
                <c:pt idx="0">
                  <c:v>RunningTotal</c:v>
                </c:pt>
              </c:strCache>
            </c:strRef>
          </c:tx>
          <c:spPr>
            <a:ln w="28575" cap="rnd">
              <a:solidFill>
                <a:schemeClr val="accent1"/>
              </a:solidFill>
              <a:round/>
            </a:ln>
            <a:effectLst/>
          </c:spPr>
          <c:marker>
            <c:symbol val="none"/>
          </c:marker>
          <c:cat>
            <c:numRef>
              <c:f>'Running Total'!$T$3:$T$41</c:f>
              <c:numCache>
                <c:formatCode>[$-F800]dddd\,\ mmmm\ dd\,\ yyyy</c:formatCode>
                <c:ptCount val="39"/>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numCache>
            </c:numRef>
          </c:cat>
          <c:val>
            <c:numRef>
              <c:f>'Running Total'!$V$3:$V$41</c:f>
              <c:numCache>
                <c:formatCode>General</c:formatCode>
                <c:ptCount val="39"/>
                <c:pt idx="0">
                  <c:v>3</c:v>
                </c:pt>
                <c:pt idx="1">
                  <c:v>4</c:v>
                </c:pt>
                <c:pt idx="2">
                  <c:v>9</c:v>
                </c:pt>
                <c:pt idx="3">
                  <c:v>12</c:v>
                </c:pt>
                <c:pt idx="4">
                  <c:v>18</c:v>
                </c:pt>
                <c:pt idx="5">
                  <c:v>24</c:v>
                </c:pt>
                <c:pt idx="6">
                  <c:v>30</c:v>
                </c:pt>
                <c:pt idx="7">
                  <c:v>37</c:v>
                </c:pt>
                <c:pt idx="8">
                  <c:v>43</c:v>
                </c:pt>
                <c:pt idx="9">
                  <c:v>47</c:v>
                </c:pt>
                <c:pt idx="10">
                  <c:v>56</c:v>
                </c:pt>
                <c:pt idx="11">
                  <c:v>61</c:v>
                </c:pt>
                <c:pt idx="12">
                  <c:v>71</c:v>
                </c:pt>
                <c:pt idx="13">
                  <c:v>77</c:v>
                </c:pt>
                <c:pt idx="14">
                  <c:v>90</c:v>
                </c:pt>
                <c:pt idx="15">
                  <c:v>94</c:v>
                </c:pt>
                <c:pt idx="16">
                  <c:v>105</c:v>
                </c:pt>
                <c:pt idx="17">
                  <c:v>108</c:v>
                </c:pt>
                <c:pt idx="18">
                  <c:v>112</c:v>
                </c:pt>
                <c:pt idx="19">
                  <c:v>119</c:v>
                </c:pt>
                <c:pt idx="20">
                  <c:v>122</c:v>
                </c:pt>
                <c:pt idx="21">
                  <c:v>132</c:v>
                </c:pt>
                <c:pt idx="22">
                  <c:v>141</c:v>
                </c:pt>
                <c:pt idx="23">
                  <c:v>150</c:v>
                </c:pt>
                <c:pt idx="24">
                  <c:v>159</c:v>
                </c:pt>
                <c:pt idx="25">
                  <c:v>166</c:v>
                </c:pt>
                <c:pt idx="26">
                  <c:v>171</c:v>
                </c:pt>
                <c:pt idx="27">
                  <c:v>176</c:v>
                </c:pt>
                <c:pt idx="28">
                  <c:v>178</c:v>
                </c:pt>
                <c:pt idx="29">
                  <c:v>181</c:v>
                </c:pt>
                <c:pt idx="30">
                  <c:v>181</c:v>
                </c:pt>
                <c:pt idx="31">
                  <c:v>181</c:v>
                </c:pt>
                <c:pt idx="32">
                  <c:v>181</c:v>
                </c:pt>
                <c:pt idx="33">
                  <c:v>182</c:v>
                </c:pt>
                <c:pt idx="34">
                  <c:v>182</c:v>
                </c:pt>
                <c:pt idx="35">
                  <c:v>183</c:v>
                </c:pt>
              </c:numCache>
            </c:numRef>
          </c:val>
          <c:smooth val="0"/>
          <c:extLst>
            <c:ext xmlns:c16="http://schemas.microsoft.com/office/drawing/2014/chart" uri="{C3380CC4-5D6E-409C-BE32-E72D297353CC}">
              <c16:uniqueId val="{00000000-6AF4-4B0F-A55D-3D536D82AC74}"/>
            </c:ext>
          </c:extLst>
        </c:ser>
        <c:dLbls>
          <c:showLegendKey val="0"/>
          <c:showVal val="0"/>
          <c:showCatName val="0"/>
          <c:showSerName val="0"/>
          <c:showPercent val="0"/>
          <c:showBubbleSize val="0"/>
        </c:dLbls>
        <c:smooth val="0"/>
        <c:axId val="1575194800"/>
        <c:axId val="1575195280"/>
      </c:lineChart>
      <c:dateAx>
        <c:axId val="1575194800"/>
        <c:scaling>
          <c:orientation val="minMax"/>
        </c:scaling>
        <c:delete val="0"/>
        <c:axPos val="b"/>
        <c:numFmt formatCode="[$-F800]dddd\,\ mmmm\ dd\,\ 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195280"/>
        <c:crosses val="autoZero"/>
        <c:auto val="1"/>
        <c:lblOffset val="100"/>
        <c:baseTimeUnit val="months"/>
      </c:dateAx>
      <c:valAx>
        <c:axId val="1575195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19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[blank-data-file.xlsx]Headcount!PivotTable4</c:name>
    <c:fmtId val="25"/>
  </c:pivotSource>
  <c:chart>
    <c:autoTitleDeleted val="1"/>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34097381253638"/>
          <c:y val="0.13456375838926177"/>
          <c:w val="0.82621900848051366"/>
          <c:h val="0.77521152976683283"/>
        </c:manualLayout>
      </c:layout>
      <c:barChart>
        <c:barDir val="bar"/>
        <c:grouping val="clustered"/>
        <c:varyColors val="0"/>
        <c:ser>
          <c:idx val="0"/>
          <c:order val="0"/>
          <c:tx>
            <c:strRef>
              <c:f>Headcount!$B$3</c:f>
              <c:strCache>
                <c:ptCount val="1"/>
                <c:pt idx="0">
                  <c:v>Total</c:v>
                </c:pt>
              </c:strCache>
            </c:strRef>
          </c:tx>
          <c:spPr>
            <a:solidFill>
              <a:schemeClr val="accent2">
                <a:lumMod val="75000"/>
              </a:schemeClr>
            </a:solidFill>
            <a:ln>
              <a:noFill/>
            </a:ln>
            <a:effectLst/>
          </c:spPr>
          <c:invertIfNegative val="0"/>
          <c:cat>
            <c:strRef>
              <c:f>Headcount!$A$4:$A$9</c:f>
              <c:strCache>
                <c:ptCount val="5"/>
                <c:pt idx="0">
                  <c:v>Procurement</c:v>
                </c:pt>
                <c:pt idx="1">
                  <c:v>Website</c:v>
                </c:pt>
                <c:pt idx="2">
                  <c:v>Finance</c:v>
                </c:pt>
                <c:pt idx="3">
                  <c:v>Sales</c:v>
                </c:pt>
                <c:pt idx="4">
                  <c:v>HR</c:v>
                </c:pt>
              </c:strCache>
            </c:strRef>
          </c:cat>
          <c:val>
            <c:numRef>
              <c:f>Headcount!$B$4:$B$9</c:f>
              <c:numCache>
                <c:formatCode>General</c:formatCode>
                <c:ptCount val="5"/>
                <c:pt idx="0">
                  <c:v>28</c:v>
                </c:pt>
                <c:pt idx="1">
                  <c:v>27</c:v>
                </c:pt>
                <c:pt idx="2">
                  <c:v>19</c:v>
                </c:pt>
                <c:pt idx="3">
                  <c:v>14</c:v>
                </c:pt>
                <c:pt idx="4">
                  <c:v>4</c:v>
                </c:pt>
              </c:numCache>
            </c:numRef>
          </c:val>
          <c:extLst>
            <c:ext xmlns:c16="http://schemas.microsoft.com/office/drawing/2014/chart" uri="{C3380CC4-5D6E-409C-BE32-E72D297353CC}">
              <c16:uniqueId val="{00000000-B08C-458B-8072-D0E2D883AE40}"/>
            </c:ext>
          </c:extLst>
        </c:ser>
        <c:dLbls>
          <c:showLegendKey val="0"/>
          <c:showVal val="0"/>
          <c:showCatName val="0"/>
          <c:showSerName val="0"/>
          <c:showPercent val="0"/>
          <c:showBubbleSize val="0"/>
        </c:dLbls>
        <c:gapWidth val="24"/>
        <c:axId val="1432291952"/>
        <c:axId val="1432289552"/>
      </c:barChart>
      <c:catAx>
        <c:axId val="14322919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289552"/>
        <c:crosses val="autoZero"/>
        <c:auto val="1"/>
        <c:lblAlgn val="ctr"/>
        <c:lblOffset val="100"/>
        <c:noMultiLvlLbl val="0"/>
      </c:catAx>
      <c:valAx>
        <c:axId val="1432289552"/>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29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[blank-data-file.xlsx]Headcount!PivotTable5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Headcount!$E$3</c:f>
              <c:strCache>
                <c:ptCount val="1"/>
                <c:pt idx="0">
                  <c:v>Total</c:v>
                </c:pt>
              </c:strCache>
            </c:strRef>
          </c:tx>
          <c:spPr>
            <a:solidFill>
              <a:schemeClr val="accent1"/>
            </a:solidFill>
            <a:ln>
              <a:noFill/>
            </a:ln>
            <a:effectLst/>
          </c:spPr>
          <c:invertIfNegative val="0"/>
          <c:cat>
            <c:strRef>
              <c:f>Headcount!$D$4:$D$9</c:f>
              <c:strCache>
                <c:ptCount val="5"/>
                <c:pt idx="0">
                  <c:v>Website</c:v>
                </c:pt>
                <c:pt idx="1">
                  <c:v>Procurement</c:v>
                </c:pt>
                <c:pt idx="2">
                  <c:v>Finance</c:v>
                </c:pt>
                <c:pt idx="3">
                  <c:v>Sales</c:v>
                </c:pt>
                <c:pt idx="4">
                  <c:v>HR</c:v>
                </c:pt>
              </c:strCache>
            </c:strRef>
          </c:cat>
          <c:val>
            <c:numRef>
              <c:f>Headcount!$E$4:$E$9</c:f>
              <c:numCache>
                <c:formatCode>General</c:formatCode>
                <c:ptCount val="5"/>
                <c:pt idx="0">
                  <c:v>27</c:v>
                </c:pt>
                <c:pt idx="1">
                  <c:v>27</c:v>
                </c:pt>
                <c:pt idx="2">
                  <c:v>19</c:v>
                </c:pt>
                <c:pt idx="3">
                  <c:v>14</c:v>
                </c:pt>
                <c:pt idx="4">
                  <c:v>4</c:v>
                </c:pt>
              </c:numCache>
            </c:numRef>
          </c:val>
          <c:extLst>
            <c:ext xmlns:c16="http://schemas.microsoft.com/office/drawing/2014/chart" uri="{C3380CC4-5D6E-409C-BE32-E72D297353CC}">
              <c16:uniqueId val="{00000000-2743-4C1B-BA12-32AE306C773E}"/>
            </c:ext>
          </c:extLst>
        </c:ser>
        <c:dLbls>
          <c:showLegendKey val="0"/>
          <c:showVal val="0"/>
          <c:showCatName val="0"/>
          <c:showSerName val="0"/>
          <c:showPercent val="0"/>
          <c:showBubbleSize val="0"/>
        </c:dLbls>
        <c:gapWidth val="24"/>
        <c:axId val="1542093840"/>
        <c:axId val="1542092880"/>
      </c:barChart>
      <c:catAx>
        <c:axId val="15420938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092880"/>
        <c:crosses val="autoZero"/>
        <c:auto val="1"/>
        <c:lblAlgn val="ctr"/>
        <c:lblOffset val="100"/>
        <c:noMultiLvlLbl val="0"/>
      </c:catAx>
      <c:valAx>
        <c:axId val="1542092880"/>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09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Salary Distribution - Histogram</cx:v>
        </cx:txData>
      </cx:tx>
      <cx:txPr>
        <a:bodyPr spcFirstLastPara="1" vertOverflow="ellipsis" horzOverflow="overflow" wrap="square" lIns="0" tIns="0" rIns="0" bIns="0" anchor="ctr" anchorCtr="1"/>
        <a:lstStyle/>
        <a:p>
          <a:pPr algn="ctr" rtl="0">
            <a:defRPr>
              <a:ln>
                <a:noFill/>
              </a:ln>
            </a:defRPr>
          </a:pPr>
          <a:r>
            <a:rPr lang="en-US" sz="1600" b="1" i="0" u="none" strike="noStrike" spc="100" baseline="0">
              <a:ln>
                <a:noFill/>
              </a:ln>
              <a:solidFill>
                <a:sysClr val="window" lastClr="FFFFFF">
                  <a:lumMod val="95000"/>
                </a:sysClr>
              </a:solidFill>
              <a:effectLst>
                <a:outerShdw blurRad="50800" dist="38100" dir="5400000" algn="t" rotWithShape="0">
                  <a:prstClr val="black">
                    <a:alpha val="40000"/>
                  </a:prstClr>
                </a:outerShdw>
              </a:effectLst>
              <a:latin typeface="Calibri" panose="020F0502020204030204"/>
            </a:rPr>
            <a:t>Salary Distribution - Histogram</a:t>
          </a:r>
        </a:p>
      </cx:txPr>
    </cx:title>
    <cx:plotArea>
      <cx:plotAreaRegion>
        <cx:series layoutId="clusteredColumn" uniqueId="{B3081A9B-2F6E-4180-B4AC-431EB5ACCB0C}">
          <cx:tx>
            <cx:txData>
              <cx:f>_xlchart.v1.2</cx:f>
              <cx:v> Salary </cx:v>
            </cx:txData>
          </cx:tx>
          <cx:dataId val="0"/>
          <cx:layoutPr>
            <cx:binning intervalClosed="r" underflow="40000">
              <cx:binSize val="10000"/>
            </cx:binning>
          </cx:layoutPr>
        </cx:series>
      </cx:plotAreaRegion>
      <cx:axis id="0">
        <cx:catScaling gapWidth="0"/>
        <cx:tickLabels/>
        <cx:txPr>
          <a:bodyPr vertOverflow="overflow" horzOverflow="overflow" wrap="square" lIns="0" tIns="0" rIns="0" bIns="0"/>
          <a:lstStyle/>
          <a:p>
            <a:pPr algn="ctr" rtl="0">
              <a:defRPr sz="900" b="0" i="0">
                <a:ln>
                  <a:noFill/>
                </a:ln>
                <a:solidFill>
                  <a:srgbClr val="F2F2F2"/>
                </a:solidFill>
                <a:latin typeface="Calibri" panose="020F0502020204030204" pitchFamily="34" charset="0"/>
                <a:ea typeface="Calibri" panose="020F0502020204030204" pitchFamily="34" charset="0"/>
                <a:cs typeface="Calibri" panose="020F0502020204030204" pitchFamily="34" charset="0"/>
              </a:defRPr>
            </a:pPr>
            <a:endParaRPr lang="en-IN">
              <a:ln>
                <a:noFill/>
              </a:ln>
            </a:endParaRPr>
          </a:p>
        </cx:txPr>
      </cx:axis>
      <cx:axis id="1">
        <cx:valScaling/>
        <cx:majorGridlines/>
        <cx:tickLabels/>
        <cx:txPr>
          <a:bodyPr vertOverflow="overflow" horzOverflow="overflow" wrap="square" lIns="0" tIns="0" rIns="0" bIns="0"/>
          <a:lstStyle/>
          <a:p>
            <a:pPr algn="ctr" rtl="0">
              <a:defRPr sz="900" b="0" i="0">
                <a:ln>
                  <a:noFill/>
                </a:ln>
                <a:solidFill>
                  <a:srgbClr val="F2F2F2"/>
                </a:solidFill>
                <a:latin typeface="Calibri" panose="020F0502020204030204" pitchFamily="34" charset="0"/>
                <a:ea typeface="Calibri" panose="020F0502020204030204" pitchFamily="34" charset="0"/>
                <a:cs typeface="Calibri" panose="020F0502020204030204" pitchFamily="34" charset="0"/>
              </a:defRPr>
            </a:pPr>
            <a:endParaRPr lang="en-IN">
              <a:ln>
                <a:noFill/>
              </a:ln>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Salary Distribution - Box plot</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Salary Distribution - Box plot</a:t>
          </a:r>
        </a:p>
      </cx:txPr>
    </cx:title>
    <cx:plotArea>
      <cx:plotAreaRegion>
        <cx:series layoutId="boxWhisker" uniqueId="{819F3E48-0870-4B98-B3C2-ADC5D2C887C5}">
          <cx:tx>
            <cx:txData>
              <cx:f>_xlchart.v1.0</cx:f>
              <cx:v> Salary </cx:v>
            </cx:txData>
          </cx:tx>
          <cx:spPr>
            <a:solidFill>
              <a:schemeClr val="accent5">
                <a:lumMod val="40000"/>
                <a:lumOff val="60000"/>
              </a:schemeClr>
            </a:solidFill>
          </cx:spPr>
          <cx:dataId val="0"/>
          <cx:layoutPr>
            <cx:visibility meanLine="1" meanMarker="1" nonoutliers="0" outliers="1"/>
            <cx:statistics quartileMethod="exclusive"/>
          </cx:layoutPr>
        </cx:series>
      </cx:plotAreaRegion>
      <cx:axis id="0">
        <cx:catScaling gapWidth="1.5"/>
        <cx:tickLabels/>
      </cx:axis>
      <cx:axis id="1">
        <cx:valScaling/>
        <cx:majorGridlines/>
        <cx:tickLabels/>
      </cx:axis>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13</xdr:row>
      <xdr:rowOff>15241</xdr:rowOff>
    </xdr:from>
    <xdr:to>
      <xdr:col>9</xdr:col>
      <xdr:colOff>182880</xdr:colOff>
      <xdr:row>18</xdr:row>
      <xdr:rowOff>99061</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60862478-9BB9-044B-557F-4FEE1568AC4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8755380" y="2827021"/>
              <a:ext cx="1828800" cy="998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365760</xdr:colOff>
      <xdr:row>2</xdr:row>
      <xdr:rowOff>22860</xdr:rowOff>
    </xdr:from>
    <xdr:to>
      <xdr:col>10</xdr:col>
      <xdr:colOff>152400</xdr:colOff>
      <xdr:row>21</xdr:row>
      <xdr:rowOff>144780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C9F5F6A-DEDA-41B4-BBE4-EC02321B6162}"/>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65760" y="388620"/>
              <a:ext cx="5882640" cy="35966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160020</xdr:colOff>
      <xdr:row>2</xdr:row>
      <xdr:rowOff>99060</xdr:rowOff>
    </xdr:from>
    <xdr:to>
      <xdr:col>21</xdr:col>
      <xdr:colOff>434340</xdr:colOff>
      <xdr:row>25</xdr:row>
      <xdr:rowOff>91440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777F359-B1A3-430F-A752-AF76E9D1983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865620" y="464820"/>
              <a:ext cx="6370320" cy="41986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640080</xdr:colOff>
      <xdr:row>4</xdr:row>
      <xdr:rowOff>175260</xdr:rowOff>
    </xdr:to>
    <mc:AlternateContent xmlns:mc="http://schemas.openxmlformats.org/markup-compatibility/2006">
      <mc:Choice xmlns:a14="http://schemas.microsoft.com/office/drawing/2010/main" Requires="a14">
        <xdr:graphicFrame macro="">
          <xdr:nvGraphicFramePr>
            <xdr:cNvPr id="2" name="Country 1">
              <a:extLst>
                <a:ext uri="{FF2B5EF4-FFF2-40B4-BE49-F238E27FC236}">
                  <a16:creationId xmlns:a16="http://schemas.microsoft.com/office/drawing/2014/main" id="{8566B806-E38C-6B18-AAFE-0542EBD17BD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609600" y="0"/>
              <a:ext cx="1828800" cy="90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160020</xdr:colOff>
      <xdr:row>2</xdr:row>
      <xdr:rowOff>171450</xdr:rowOff>
    </xdr:from>
    <xdr:to>
      <xdr:col>17</xdr:col>
      <xdr:colOff>114300</xdr:colOff>
      <xdr:row>17</xdr:row>
      <xdr:rowOff>171450</xdr:rowOff>
    </xdr:to>
    <xdr:graphicFrame macro="">
      <xdr:nvGraphicFramePr>
        <xdr:cNvPr id="3" name="Chart 2">
          <a:extLst>
            <a:ext uri="{FF2B5EF4-FFF2-40B4-BE49-F238E27FC236}">
              <a16:creationId xmlns:a16="http://schemas.microsoft.com/office/drawing/2014/main" id="{0E8DC5D4-3B3E-4A61-BCC6-CA69255FD7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13</xdr:row>
      <xdr:rowOff>3810</xdr:rowOff>
    </xdr:from>
    <xdr:to>
      <xdr:col>8</xdr:col>
      <xdr:colOff>7620</xdr:colOff>
      <xdr:row>30</xdr:row>
      <xdr:rowOff>99060</xdr:rowOff>
    </xdr:to>
    <xdr:graphicFrame macro="">
      <xdr:nvGraphicFramePr>
        <xdr:cNvPr id="4" name="Chart 3">
          <a:extLst>
            <a:ext uri="{FF2B5EF4-FFF2-40B4-BE49-F238E27FC236}">
              <a16:creationId xmlns:a16="http://schemas.microsoft.com/office/drawing/2014/main" id="{0FF39865-B4C6-2052-43E4-4695C9163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434340</xdr:colOff>
      <xdr:row>3</xdr:row>
      <xdr:rowOff>3810</xdr:rowOff>
    </xdr:from>
    <xdr:to>
      <xdr:col>28</xdr:col>
      <xdr:colOff>746760</xdr:colOff>
      <xdr:row>20</xdr:row>
      <xdr:rowOff>175260</xdr:rowOff>
    </xdr:to>
    <xdr:graphicFrame macro="">
      <xdr:nvGraphicFramePr>
        <xdr:cNvPr id="7" name="Chart 6">
          <a:extLst>
            <a:ext uri="{FF2B5EF4-FFF2-40B4-BE49-F238E27FC236}">
              <a16:creationId xmlns:a16="http://schemas.microsoft.com/office/drawing/2014/main" id="{3BEF9DD2-987F-942A-AC7D-343A8680F5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8</xdr:row>
      <xdr:rowOff>174308</xdr:rowOff>
    </xdr:from>
    <xdr:to>
      <xdr:col>12</xdr:col>
      <xdr:colOff>4019</xdr:colOff>
      <xdr:row>28</xdr:row>
      <xdr:rowOff>4947</xdr:rowOff>
    </xdr:to>
    <xdr:graphicFrame macro="">
      <xdr:nvGraphicFramePr>
        <xdr:cNvPr id="6" name="Chart 5">
          <a:extLst>
            <a:ext uri="{FF2B5EF4-FFF2-40B4-BE49-F238E27FC236}">
              <a16:creationId xmlns:a16="http://schemas.microsoft.com/office/drawing/2014/main" id="{89D02D92-907F-4848-9F18-B428AC459A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601980</xdr:colOff>
      <xdr:row>9</xdr:row>
      <xdr:rowOff>0</xdr:rowOff>
    </xdr:from>
    <xdr:to>
      <xdr:col>6</xdr:col>
      <xdr:colOff>15240</xdr:colOff>
      <xdr:row>28</xdr:row>
      <xdr:rowOff>7620</xdr:rowOff>
    </xdr:to>
    <xdr:graphicFrame macro="">
      <xdr:nvGraphicFramePr>
        <xdr:cNvPr id="7" name="Chart 6">
          <a:extLst>
            <a:ext uri="{FF2B5EF4-FFF2-40B4-BE49-F238E27FC236}">
              <a16:creationId xmlns:a16="http://schemas.microsoft.com/office/drawing/2014/main" id="{0D85DBBB-811E-4F1E-AF85-619E31E62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5.638658564814" createdVersion="8" refreshedVersion="8" minRefreshableVersion="3" recordCount="183" xr:uid="{C9E45623-C10E-47B0-9F5F-2B48F1C22762}">
  <cacheSource type="worksheet">
    <worksheetSource name="staff"/>
  </cacheSource>
  <cacheFields count="14">
    <cacheField name="Name" numFmtId="0">
      <sharedItems/>
    </cacheField>
    <cacheField name="Gender" numFmtId="0">
      <sharedItems/>
    </cacheField>
    <cacheField name="Age" numFmtId="0">
      <sharedItems containsSemiMixedTypes="0" containsString="0" containsNumber="1" containsInteger="1" minValue="19" maxValue="46"/>
    </cacheField>
    <cacheField name="Rating" numFmtId="0">
      <sharedItems count="5">
        <s v="Average"/>
        <s v="Very poor"/>
        <s v="Above average"/>
        <s v="Poor"/>
        <s v="Exceptional"/>
      </sharedItems>
    </cacheField>
    <cacheField name="Date Joined" numFmtId="14">
      <sharedItems containsSemiMixedTypes="0" containsNonDate="0" containsDate="1" containsString="0" minDate="2020-05-07T00:00:00" maxDate="2023-04-30T00:00:00" count="160">
        <d v="2022-02-27T00:00:00"/>
        <d v="2022-04-27T00:00:00"/>
        <d v="2020-05-11T00:00:00"/>
        <d v="2020-07-11T00:00:00"/>
        <d v="2021-12-28T00:00:00"/>
        <d v="2022-02-28T00:00:00"/>
        <d v="2020-07-30T00:00:00"/>
        <d v="2020-09-30T00:00:00"/>
        <d v="2022-04-15T00:00:00"/>
        <d v="2022-06-15T00:00:00"/>
        <d v="2021-12-19T00:00:00"/>
        <d v="2022-02-19T00:00:00"/>
        <d v="2020-09-10T00:00:00"/>
        <d v="2020-11-10T00:00:00"/>
        <d v="2022-07-16T00:00:00"/>
        <d v="2022-09-16T00:00:00"/>
        <d v="2021-04-07T00:00:00"/>
        <d v="2021-06-07T00:00:00"/>
        <d v="2021-05-23T00:00:00"/>
        <d v="2021-07-23T00:00:00"/>
        <d v="2020-11-29T00:00:00"/>
        <d v="2021-01-29T00:00:00"/>
        <d v="2020-05-29T00:00:00"/>
        <d v="2020-07-29T00:00:00"/>
        <d v="2022-03-20T00:00:00"/>
        <d v="2022-05-20T00:00:00"/>
        <d v="2021-09-11T00:00:00"/>
        <d v="2021-11-11T00:00:00"/>
        <d v="2021-11-06T00:00:00"/>
        <d v="2022-01-06T00:00:00"/>
        <d v="2022-04-09T00:00:00"/>
        <d v="2022-06-09T00:00:00"/>
        <d v="2021-06-28T00:00:00"/>
        <d v="2021-08-28T00:00:00"/>
        <d v="2021-04-10T00:00:00"/>
        <d v="2021-06-10T00:00:00"/>
        <d v="2021-07-26T00:00:00"/>
        <d v="2021-06-03T00:00:00"/>
        <d v="2021-09-26T00:00:00"/>
        <d v="2021-08-03T00:00:00"/>
        <d v="2021-09-09T00:00:00"/>
        <d v="2021-11-09T00:00:00"/>
        <d v="2020-08-30T00:00:00"/>
        <d v="2020-10-30T00:00:00"/>
        <d v="2021-03-13T00:00:00"/>
        <d v="2021-05-13T00:00:00"/>
        <d v="2022-07-20T00:00:00"/>
        <d v="2022-02-12T00:00:00"/>
        <d v="2022-04-12T00:00:00"/>
        <d v="2022-02-02T00:00:00"/>
        <d v="2022-04-02T00:00:00"/>
        <d v="2021-01-22T00:00:00"/>
        <d v="2021-03-22T00:00:00"/>
        <d v="2020-12-16T00:00:00"/>
        <d v="2021-02-16T00:00:00"/>
        <d v="2021-12-20T00:00:00"/>
        <d v="2022-02-20T00:00:00"/>
        <d v="2022-02-15T00:00:00"/>
        <d v="2020-09-13T00:00:00"/>
        <d v="2020-11-13T00:00:00"/>
        <d v="2021-12-05T00:00:00"/>
        <d v="2022-02-05T00:00:00"/>
        <d v="2020-06-24T00:00:00"/>
        <d v="2020-08-24T00:00:00"/>
        <d v="2021-05-06T00:00:00"/>
        <d v="2021-07-06T00:00:00"/>
        <d v="2021-03-01T00:00:00"/>
        <d v="2021-05-01T00:00:00"/>
        <d v="2021-05-12T00:00:00"/>
        <d v="2021-07-12T00:00:00"/>
        <d v="2021-10-07T00:00:00"/>
        <d v="2021-12-07T00:00:00"/>
        <d v="2021-01-18T00:00:00"/>
        <d v="2021-03-18T00:00:00"/>
        <d v="2022-08-16T00:00:00"/>
        <d v="2022-10-16T00:00:00"/>
        <d v="2022-04-19T00:00:00"/>
        <d v="2022-06-19T00:00:00"/>
        <d v="2022-05-16T00:00:00"/>
        <d v="2021-03-17T00:00:00"/>
        <d v="2021-05-17T00:00:00"/>
        <d v="2021-05-08T00:00:00"/>
        <d v="2021-07-08T00:00:00"/>
        <d v="2022-06-06T00:00:00"/>
        <d v="2022-08-06T00:00:00"/>
        <d v="2021-02-26T00:00:00"/>
        <d v="2021-04-26T00:00:00"/>
        <d v="2021-04-27T00:00:00"/>
        <d v="2021-06-27T00:00:00"/>
        <d v="2020-12-15T00:00:00"/>
        <d v="2021-02-15T00:00:00"/>
        <d v="2020-10-20T00:00:00"/>
        <d v="2020-12-20T00:00:00"/>
        <d v="2021-07-11T00:00:00"/>
        <d v="2021-09-29T00:00:00"/>
        <d v="2021-11-29T00:00:00"/>
        <d v="2021-08-25T00:00:00"/>
        <d v="2021-10-25T00:00:00"/>
        <d v="2022-05-02T00:00:00"/>
        <d v="2022-07-02T00:00:00"/>
        <d v="2022-03-13T00:00:00"/>
        <d v="2022-05-13T00:00:00"/>
        <d v="2022-03-05T00:00:00"/>
        <d v="2022-05-05T00:00:00"/>
        <d v="2021-07-20T00:00:00"/>
        <d v="2021-09-20T00:00:00"/>
        <d v="2022-07-05T00:00:00"/>
        <d v="2022-09-05T00:00:00"/>
        <d v="2021-03-21T00:00:00"/>
        <d v="2021-05-21T00:00:00"/>
        <d v="2021-05-22T00:00:00"/>
        <d v="2021-01-16T00:00:00"/>
        <d v="2021-03-16T00:00:00"/>
        <d v="2022-06-01T00:00:00"/>
        <d v="2022-08-01T00:00:00"/>
        <d v="2020-12-09T00:00:00"/>
        <d v="2021-02-09T00:00:00"/>
        <d v="2021-09-06T00:00:00"/>
        <d v="2020-11-09T00:00:00"/>
        <d v="2021-01-09T00:00:00"/>
        <d v="2020-10-25T00:00:00"/>
        <d v="2020-12-25T00:00:00"/>
        <d v="2021-12-14T00:00:00"/>
        <d v="2022-02-14T00:00:00"/>
        <d v="2021-01-08T00:00:00"/>
        <d v="2021-03-08T00:00:00"/>
        <d v="2022-01-10T00:00:00"/>
        <d v="2022-03-10T00:00:00"/>
        <d v="2022-06-12T00:00:00"/>
        <d v="2022-01-29T00:00:00"/>
        <d v="2022-03-29T00:00:00"/>
        <d v="2021-05-04T00:00:00"/>
        <d v="2021-07-04T00:00:00"/>
        <d v="2021-08-17T00:00:00"/>
        <d v="2021-10-17T00:00:00"/>
        <d v="2021-07-01T00:00:00"/>
        <d v="2021-09-01T00:00:00"/>
        <d v="2021-04-30T00:00:00"/>
        <d v="2021-06-30T00:00:00"/>
        <d v="2022-04-14T00:00:00"/>
        <d v="2022-06-14T00:00:00"/>
        <d v="2020-10-15T00:00:00"/>
        <d v="2022-08-27T00:00:00"/>
        <d v="2022-10-27T00:00:00"/>
        <d v="2020-10-18T00:00:00"/>
        <d v="2022-03-22T00:00:00"/>
        <d v="2020-12-18T00:00:00"/>
        <d v="2021-07-07T00:00:00"/>
        <d v="2021-09-07T00:00:00"/>
        <d v="2021-12-17T00:00:00"/>
        <d v="2022-02-17T00:00:00"/>
        <d v="2023-02-28T00:00:00"/>
        <d v="2023-04-29T00:00:00"/>
        <d v="2020-09-11T00:00:00"/>
        <d v="2020-11-11T00:00:00"/>
        <d v="2020-09-29T00:00:00"/>
        <d v="2021-09-12T00:00:00"/>
        <d v="2020-05-07T00:00:00"/>
        <d v="2020-07-07T00:00:00"/>
        <d v="2020-08-18T00:00:00"/>
      </sharedItems>
      <fieldGroup par="13"/>
    </cacheField>
    <cacheField name="Department" numFmtId="0">
      <sharedItems count="5">
        <s v="Website"/>
        <s v="Sales"/>
        <s v="Procurement"/>
        <s v="HR"/>
        <s v="Finance"/>
      </sharedItems>
    </cacheField>
    <cacheField name="Salary" numFmtId="164">
      <sharedItems containsSemiMixedTypes="0" containsString="0" containsNumber="1" containsInteger="1" minValue="33920" maxValue="119110" count="90">
        <n v="33920"/>
        <n v="34980"/>
        <n v="36040"/>
        <n v="37920"/>
        <n v="40400"/>
        <n v="41570"/>
        <n v="41980"/>
        <n v="43510"/>
        <n v="43840"/>
        <n v="45510"/>
        <n v="47360"/>
        <n v="48170"/>
        <n v="48530"/>
        <n v="48950"/>
        <n v="48980"/>
        <n v="49630"/>
        <n v="52610"/>
        <n v="53240"/>
        <n v="53540"/>
        <n v="53870"/>
        <n v="54970"/>
        <n v="56870"/>
        <n v="57090"/>
        <n v="58100"/>
        <n v="58940"/>
        <n v="58960"/>
        <n v="59430"/>
        <n v="60130"/>
        <n v="60570"/>
        <n v="62780"/>
        <n v="64000"/>
        <n v="65360"/>
        <n v="65700"/>
        <n v="65920"/>
        <n v="67910"/>
        <n v="67950"/>
        <n v="68900"/>
        <n v="69070"/>
        <n v="69120"/>
        <n v="69710"/>
        <n v="70270"/>
        <n v="70610"/>
        <n v="71380"/>
        <n v="74550"/>
        <n v="75000"/>
        <n v="75280"/>
        <n v="75480"/>
        <n v="75880"/>
        <n v="75970"/>
        <n v="76900"/>
        <n v="78390"/>
        <n v="78540"/>
        <n v="79570"/>
        <n v="80700"/>
        <n v="83750"/>
        <n v="85000"/>
        <n v="86570"/>
        <n v="87620"/>
        <n v="88050"/>
        <n v="90700"/>
        <n v="91310"/>
        <n v="91650"/>
        <n v="92450"/>
        <n v="92700"/>
        <n v="96140"/>
        <n v="96800"/>
        <n v="99750"/>
        <n v="99970"/>
        <n v="100420"/>
        <n v="103550"/>
        <n v="104120"/>
        <n v="104410"/>
        <n v="104770"/>
        <n v="106460"/>
        <n v="107700"/>
        <n v="109160"/>
        <n v="109190"/>
        <n v="112110"/>
        <n v="112570"/>
        <n v="112650"/>
        <n v="112780"/>
        <n v="113280"/>
        <n v="114180"/>
        <n v="114870"/>
        <n v="114890"/>
        <n v="115440"/>
        <n v="115920"/>
        <n v="118100"/>
        <n v="118840"/>
        <n v="119110"/>
      </sharedItems>
    </cacheField>
    <cacheField name="Country" numFmtId="0">
      <sharedItems count="2">
        <s v="Ind"/>
        <s v="Nz"/>
      </sharedItems>
    </cacheField>
    <cacheField name="Bonus" numFmtId="164">
      <sharedItems containsSemiMixedTypes="0" containsString="0" containsNumber="1" minValue="1017.5999999999999" maxValue="3573.2999999999997"/>
    </cacheField>
    <cacheField name="Tenure" numFmtId="2">
      <sharedItems containsSemiMixedTypes="0" containsString="0" containsNumber="1" minValue="2.904109589041096" maxValue="5.882191780821918"/>
    </cacheField>
    <cacheField name="Final Salary" numFmtId="164">
      <sharedItems containsSemiMixedTypes="0" containsString="0" containsNumber="1" minValue="34937.599999999999" maxValue="122683.3"/>
    </cacheField>
    <cacheField name="Months (Date Joined)" numFmtId="0" databaseField="0">
      <fieldGroup base="4">
        <rangePr groupBy="months" startDate="2020-05-07T00:00:00" endDate="2023-04-30T00:00:00"/>
        <groupItems count="14">
          <s v="&lt;07-05-2020"/>
          <s v="Jan"/>
          <s v="Feb"/>
          <s v="Mar"/>
          <s v="Apr"/>
          <s v="May"/>
          <s v="Jun"/>
          <s v="Jul"/>
          <s v="Aug"/>
          <s v="Sep"/>
          <s v="Oct"/>
          <s v="Nov"/>
          <s v="Dec"/>
          <s v="&gt;30-04-2023"/>
        </groupItems>
      </fieldGroup>
    </cacheField>
    <cacheField name="Quarters (Date Joined)" numFmtId="0" databaseField="0">
      <fieldGroup base="4">
        <rangePr groupBy="quarters" startDate="2020-05-07T00:00:00" endDate="2023-04-30T00:00:00"/>
        <groupItems count="6">
          <s v="&lt;07-05-2020"/>
          <s v="Qtr1"/>
          <s v="Qtr2"/>
          <s v="Qtr3"/>
          <s v="Qtr4"/>
          <s v="&gt;30-04-2023"/>
        </groupItems>
      </fieldGroup>
    </cacheField>
    <cacheField name="Years (Date Joined)" numFmtId="0" databaseField="0">
      <fieldGroup base="4">
        <rangePr groupBy="years" startDate="2020-05-07T00:00:00" endDate="2023-04-30T00:00:00"/>
        <groupItems count="6">
          <s v="&lt;07-05-2020"/>
          <s v="2020"/>
          <s v="2021"/>
          <s v="2022"/>
          <s v="2023"/>
          <s v="&gt;30-04-2023"/>
        </groupItems>
      </fieldGroup>
    </cacheField>
  </cacheFields>
  <extLst>
    <ext xmlns:x14="http://schemas.microsoft.com/office/spreadsheetml/2009/9/main" uri="{725AE2AE-9491-48be-B2B4-4EB974FC3084}">
      <x14:pivotCacheDefinition pivotCacheId="134019566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5.618030671299" backgroundQuery="1" createdVersion="8" refreshedVersion="8" minRefreshableVersion="3" recordCount="0" supportSubquery="1" supportAdvancedDrill="1" xr:uid="{99F50638-D8CD-4EBD-8B27-71134E67BC82}">
  <cacheSource type="external" connectionId="4"/>
  <cacheFields count="9">
    <cacheField name="[Staff].[Gender].[Gender]" caption="Gender" numFmtId="0" hierarchy="1" level="1">
      <sharedItems count="2">
        <s v="Female"/>
        <s v="Male"/>
      </sharedItems>
    </cacheField>
    <cacheField name="[Measures].[Count of Name]" caption="Count of Name" numFmtId="0" hierarchy="13" level="32767"/>
    <cacheField name="[Measures].[Average of Age]" caption="Average of Age" numFmtId="0" hierarchy="15" level="32767"/>
    <cacheField name="[Measures].[Average of Salary]" caption="Average of Salary" numFmtId="0" hierarchy="17" level="32767"/>
    <cacheField name="[Measures].[Average of Tenure]" caption="Average of Tenure" numFmtId="0" hierarchy="19" level="32767"/>
    <cacheField name="[Measures].[StdDev of Age]" caption="StdDev of Age" numFmtId="0" hierarchy="20" level="32767"/>
    <cacheField name="[Measures].[StdDev of Salary]" caption="StdDev of Salary" numFmtId="0" hierarchy="21" level="32767"/>
    <cacheField name="[Measures].[StdDev of Tenure]" caption="StdDev of Tenure" numFmtId="0" hierarchy="22" level="32767"/>
    <cacheField name="[Staff].[Country].[Country]" caption="Country" numFmtId="0" hierarchy="7" level="1">
      <sharedItems containsSemiMixedTypes="0" containsNonDate="0" containsString="0"/>
    </cacheField>
  </cacheFields>
  <cacheHierarchies count="25">
    <cacheHierarchy uniqueName="[Staff].[Name]" caption="Name" attribute="1" defaultMemberUniqueName="[Staff].[Name].[All]" allUniqueName="[Staff].[Name].[All]" dimensionUniqueName="[Staff]" displayFolder="" count="0" memberValueDatatype="130" unbalanced="0"/>
    <cacheHierarchy uniqueName="[Staff].[Gender]" caption="Gender" attribute="1" defaultMemberUniqueName="[Staff].[Gender].[All]" allUniqueName="[Staff].[Gender].[All]" dimensionUniqueName="[Staff]" displayFolder="" count="2" memberValueDatatype="130" unbalanced="0">
      <fieldsUsage count="2">
        <fieldUsage x="-1"/>
        <fieldUsage x="0"/>
      </fieldsUsage>
    </cacheHierarchy>
    <cacheHierarchy uniqueName="[Staff].[Age]" caption="Age" attribute="1" defaultMemberUniqueName="[Staff].[Age].[All]" allUniqueName="[Staff].[Age].[All]" dimensionUniqueName="[Staff]" displayFolder="" count="0" memberValueDatatype="20" unbalanced="0"/>
    <cacheHierarchy uniqueName="[Staff].[Rating]" caption="Rating" attribute="1" defaultMemberUniqueName="[Staff].[Rating].[All]" allUniqueName="[Staff].[Rating].[All]" dimensionUniqueName="[Staff]" displayFolder="" count="0" memberValueDatatype="130" unbalanced="0"/>
    <cacheHierarchy uniqueName="[Staff].[Date Joined.1]" caption="Date Joined.1" attribute="1" time="1" defaultMemberUniqueName="[Staff].[Date Joined.1].[All]" allUniqueName="[Staff].[Date Joined.1].[All]" dimensionUniqueName="[Staff]" displayFolder="" count="0" memberValueDatatype="7" unbalanced="0"/>
    <cacheHierarchy uniqueName="[Staff].[Department]" caption="Department" attribute="1" defaultMemberUniqueName="[Staff].[Department].[All]" allUniqueName="[Staff].[Department].[All]" dimensionUniqueName="[Staff]" displayFolder="" count="0" memberValueDatatype="130" unbalanced="0"/>
    <cacheHierarchy uniqueName="[Staff].[Salary]" caption="Salary" attribute="1" defaultMemberUniqueName="[Staff].[Salary].[All]" allUniqueName="[Staff].[Salary].[All]" dimensionUniqueName="[Staff]" displayFolder="" count="0" memberValueDatatype="20" unbalanced="0"/>
    <cacheHierarchy uniqueName="[Staff].[Country]" caption="Country" attribute="1" defaultMemberUniqueName="[Staff].[Country].[All]" allUniqueName="[Staff].[Country].[All]" dimensionUniqueName="[Staff]" displayFolder="" count="2" memberValueDatatype="130" unbalanced="0">
      <fieldsUsage count="2">
        <fieldUsage x="-1"/>
        <fieldUsage x="8"/>
      </fieldsUsage>
    </cacheHierarchy>
    <cacheHierarchy uniqueName="[Staff].[Bonus]" caption="Bonus" attribute="1" defaultMemberUniqueName="[Staff].[Bonus].[All]" allUniqueName="[Staff].[Bonus].[All]" dimensionUniqueName="[Staff]" displayFolder="" count="0" memberValueDatatype="5" unbalanced="0"/>
    <cacheHierarchy uniqueName="[Staff].[Tenure]" caption="Tenure" attribute="1" defaultMemberUniqueName="[Staff].[Tenure].[All]" allUniqueName="[Staff].[Tenure].[All]" dimensionUniqueName="[Staff]" displayFolder="" count="0" memberValueDatatype="5" unbalanced="0"/>
    <cacheHierarchy uniqueName="[Staff].[Final Salary]" caption="Final Salary" attribute="1" defaultMemberUniqueName="[Staff].[Final Salary].[All]" allUniqueName="[Staff].[Final Salary].[All]" dimensionUniqueName="[Staff]" displayFolder="" count="0" memberValueDatatype="5" unbalanced="0"/>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Count of Name]" caption="Count of Name" measure="1" displayFolder="" measureGroup="Staff"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Staff"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taff"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Salary]" caption="Sum of Salary" measure="1" displayFolder="" measureGroup="Staff"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Staff" count="0" oneField="1" hidden="1">
      <fieldsUsage count="1">
        <fieldUsage x="3"/>
      </fieldsUsage>
      <extLst>
        <ext xmlns:x15="http://schemas.microsoft.com/office/spreadsheetml/2010/11/main" uri="{B97F6D7D-B522-45F9-BDA1-12C45D357490}">
          <x15:cacheHierarchy aggregatedColumn="6"/>
        </ext>
      </extLst>
    </cacheHierarchy>
    <cacheHierarchy uniqueName="[Measures].[Sum of Tenure]" caption="Sum of Tenure" measure="1" displayFolder="" measureGroup="Staff" count="0" hidden="1">
      <extLst>
        <ext xmlns:x15="http://schemas.microsoft.com/office/spreadsheetml/2010/11/main" uri="{B97F6D7D-B522-45F9-BDA1-12C45D357490}">
          <x15:cacheHierarchy aggregatedColumn="9"/>
        </ext>
      </extLst>
    </cacheHierarchy>
    <cacheHierarchy uniqueName="[Measures].[Average of Tenure]" caption="Average of Tenure" measure="1" displayFolder="" measureGroup="Staff" count="0" oneField="1" hidden="1">
      <fieldsUsage count="1">
        <fieldUsage x="4"/>
      </fieldsUsage>
      <extLst>
        <ext xmlns:x15="http://schemas.microsoft.com/office/spreadsheetml/2010/11/main" uri="{B97F6D7D-B522-45F9-BDA1-12C45D357490}">
          <x15:cacheHierarchy aggregatedColumn="9"/>
        </ext>
      </extLst>
    </cacheHierarchy>
    <cacheHierarchy uniqueName="[Measures].[StdDev of Age]" caption="StdDev of Age" measure="1" displayFolder="" measureGroup="Staff" count="0" oneField="1" hidden="1">
      <fieldsUsage count="1">
        <fieldUsage x="5"/>
      </fieldsUsage>
      <extLst>
        <ext xmlns:x15="http://schemas.microsoft.com/office/spreadsheetml/2010/11/main" uri="{B97F6D7D-B522-45F9-BDA1-12C45D357490}">
          <x15:cacheHierarchy aggregatedColumn="2"/>
        </ext>
      </extLst>
    </cacheHierarchy>
    <cacheHierarchy uniqueName="[Measures].[StdDev of Salary]" caption="StdDev of Salary" measure="1" displayFolder="" measureGroup="Staff" count="0" oneField="1" hidden="1">
      <fieldsUsage count="1">
        <fieldUsage x="6"/>
      </fieldsUsage>
      <extLst>
        <ext xmlns:x15="http://schemas.microsoft.com/office/spreadsheetml/2010/11/main" uri="{B97F6D7D-B522-45F9-BDA1-12C45D357490}">
          <x15:cacheHierarchy aggregatedColumn="6"/>
        </ext>
      </extLst>
    </cacheHierarchy>
    <cacheHierarchy uniqueName="[Measures].[StdDev of Tenure]" caption="StdDev of Tenure" measure="1" displayFolder="" measureGroup="Staff" count="0" oneField="1" hidden="1">
      <fieldsUsage count="1">
        <fieldUsage x="7"/>
      </fieldsUsage>
      <extLst>
        <ext xmlns:x15="http://schemas.microsoft.com/office/spreadsheetml/2010/11/main" uri="{B97F6D7D-B522-45F9-BDA1-12C45D357490}">
          <x15:cacheHierarchy aggregatedColumn="9"/>
        </ext>
      </extLst>
    </cacheHierarchy>
    <cacheHierarchy uniqueName="[Measures].[Max of Tenure]" caption="Max of Tenure" measure="1" displayFolder="" measureGroup="Staff" count="0" hidden="1">
      <extLst>
        <ext xmlns:x15="http://schemas.microsoft.com/office/spreadsheetml/2010/11/main" uri="{B97F6D7D-B522-45F9-BDA1-12C45D357490}">
          <x15:cacheHierarchy aggregatedColumn="9"/>
        </ext>
      </extLst>
    </cacheHierarchy>
    <cacheHierarchy uniqueName="[Measures].[Min of Tenure]" caption="Min of Tenure" measure="1" displayFolder="" measureGroup="Staff"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taff" uniqueName="[Staff]" caption="Staff"/>
  </dimensions>
  <measureGroups count="1">
    <measureGroup name="Staff" caption="Staff"/>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5.701127314816" backgroundQuery="1" createdVersion="8" refreshedVersion="8" minRefreshableVersion="3" recordCount="0" supportSubquery="1" supportAdvancedDrill="1" xr:uid="{B8D699FB-C90E-40B2-8D53-F10C656670AF}">
  <cacheSource type="external" connectionId="4"/>
  <cacheFields count="3">
    <cacheField name="[Staff].[Country].[Country]" caption="Country" numFmtId="0" hierarchy="7" level="1">
      <sharedItems containsSemiMixedTypes="0" containsNonDate="0" containsString="0"/>
    </cacheField>
    <cacheField name="[Staff].[Department].[Department]" caption="Department" numFmtId="0" hierarchy="5" level="1">
      <sharedItems count="5">
        <s v="Finance"/>
        <s v="HR"/>
        <s v="Procurement"/>
        <s v="Sales"/>
        <s v="Website"/>
      </sharedItems>
    </cacheField>
    <cacheField name="[Measures].[Count of Name]" caption="Count of Name" numFmtId="0" hierarchy="13" level="32767"/>
  </cacheFields>
  <cacheHierarchies count="25">
    <cacheHierarchy uniqueName="[Staff].[Name]" caption="Name" attribute="1" defaultMemberUniqueName="[Staff].[Name].[All]" allUniqueName="[Staff].[Name].[All]" dimensionUniqueName="[Staff]" displayFolder="" count="0" memberValueDatatype="130" unbalanced="0"/>
    <cacheHierarchy uniqueName="[Staff].[Gender]" caption="Gender" attribute="1" defaultMemberUniqueName="[Staff].[Gender].[All]" allUniqueName="[Staff].[Gender].[All]" dimensionUniqueName="[Staff]" displayFolder="" count="0" memberValueDatatype="130" unbalanced="0"/>
    <cacheHierarchy uniqueName="[Staff].[Age]" caption="Age" attribute="1" defaultMemberUniqueName="[Staff].[Age].[All]" allUniqueName="[Staff].[Age].[All]" dimensionUniqueName="[Staff]" displayFolder="" count="0" memberValueDatatype="20" unbalanced="0"/>
    <cacheHierarchy uniqueName="[Staff].[Rating]" caption="Rating" attribute="1" defaultMemberUniqueName="[Staff].[Rating].[All]" allUniqueName="[Staff].[Rating].[All]" dimensionUniqueName="[Staff]" displayFolder="" count="0" memberValueDatatype="130" unbalanced="0"/>
    <cacheHierarchy uniqueName="[Staff].[Date Joined.1]" caption="Date Joined.1" attribute="1" time="1" defaultMemberUniqueName="[Staff].[Date Joined.1].[All]" allUniqueName="[Staff].[Date Joined.1].[All]" dimensionUniqueName="[Staff]" displayFolder="" count="0" memberValueDatatype="7" unbalanced="0"/>
    <cacheHierarchy uniqueName="[Staff].[Department]" caption="Department" attribute="1" defaultMemberUniqueName="[Staff].[Department].[All]" allUniqueName="[Staff].[Department].[All]" dimensionUniqueName="[Staff]" displayFolder="" count="2" memberValueDatatype="130" unbalanced="0">
      <fieldsUsage count="2">
        <fieldUsage x="-1"/>
        <fieldUsage x="1"/>
      </fieldsUsage>
    </cacheHierarchy>
    <cacheHierarchy uniqueName="[Staff].[Salary]" caption="Salary" attribute="1" defaultMemberUniqueName="[Staff].[Salary].[All]" allUniqueName="[Staff].[Salary].[All]" dimensionUniqueName="[Staff]" displayFolder="" count="0" memberValueDatatype="20" unbalanced="0"/>
    <cacheHierarchy uniqueName="[Staff].[Country]" caption="Country" attribute="1" defaultMemberUniqueName="[Staff].[Country].[All]" allUniqueName="[Staff].[Country].[All]" dimensionUniqueName="[Staff]" displayFolder="" count="2" memberValueDatatype="130" unbalanced="0">
      <fieldsUsage count="2">
        <fieldUsage x="-1"/>
        <fieldUsage x="0"/>
      </fieldsUsage>
    </cacheHierarchy>
    <cacheHierarchy uniqueName="[Staff].[Bonus]" caption="Bonus" attribute="1" defaultMemberUniqueName="[Staff].[Bonus].[All]" allUniqueName="[Staff].[Bonus].[All]" dimensionUniqueName="[Staff]" displayFolder="" count="0" memberValueDatatype="5" unbalanced="0"/>
    <cacheHierarchy uniqueName="[Staff].[Tenure]" caption="Tenure" attribute="1" defaultMemberUniqueName="[Staff].[Tenure].[All]" allUniqueName="[Staff].[Tenure].[All]" dimensionUniqueName="[Staff]" displayFolder="" count="0" memberValueDatatype="5" unbalanced="0"/>
    <cacheHierarchy uniqueName="[Staff].[Final Salary]" caption="Final Salary" attribute="1" defaultMemberUniqueName="[Staff].[Final Salary].[All]" allUniqueName="[Staff].[Final Salary].[All]" dimensionUniqueName="[Staff]" displayFolder="" count="0" memberValueDatatype="5" unbalanced="0"/>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Count of Name]" caption="Count of Name" measure="1" displayFolder="" measureGroup="Staff"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Staff"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taff"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Staff"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Staff" count="0" hidden="1">
      <extLst>
        <ext xmlns:x15="http://schemas.microsoft.com/office/spreadsheetml/2010/11/main" uri="{B97F6D7D-B522-45F9-BDA1-12C45D357490}">
          <x15:cacheHierarchy aggregatedColumn="6"/>
        </ext>
      </extLst>
    </cacheHierarchy>
    <cacheHierarchy uniqueName="[Measures].[Sum of Tenure]" caption="Sum of Tenure" measure="1" displayFolder="" measureGroup="Staff" count="0" hidden="1">
      <extLst>
        <ext xmlns:x15="http://schemas.microsoft.com/office/spreadsheetml/2010/11/main" uri="{B97F6D7D-B522-45F9-BDA1-12C45D357490}">
          <x15:cacheHierarchy aggregatedColumn="9"/>
        </ext>
      </extLst>
    </cacheHierarchy>
    <cacheHierarchy uniqueName="[Measures].[Average of Tenure]" caption="Average of Tenure" measure="1" displayFolder="" measureGroup="Staff" count="0" hidden="1">
      <extLst>
        <ext xmlns:x15="http://schemas.microsoft.com/office/spreadsheetml/2010/11/main" uri="{B97F6D7D-B522-45F9-BDA1-12C45D357490}">
          <x15:cacheHierarchy aggregatedColumn="9"/>
        </ext>
      </extLst>
    </cacheHierarchy>
    <cacheHierarchy uniqueName="[Measures].[StdDev of Age]" caption="StdDev of Age" measure="1" displayFolder="" measureGroup="Staff" count="0" hidden="1">
      <extLst>
        <ext xmlns:x15="http://schemas.microsoft.com/office/spreadsheetml/2010/11/main" uri="{B97F6D7D-B522-45F9-BDA1-12C45D357490}">
          <x15:cacheHierarchy aggregatedColumn="2"/>
        </ext>
      </extLst>
    </cacheHierarchy>
    <cacheHierarchy uniqueName="[Measures].[StdDev of Salary]" caption="StdDev of Salary" measure="1" displayFolder="" measureGroup="Staff" count="0" hidden="1">
      <extLst>
        <ext xmlns:x15="http://schemas.microsoft.com/office/spreadsheetml/2010/11/main" uri="{B97F6D7D-B522-45F9-BDA1-12C45D357490}">
          <x15:cacheHierarchy aggregatedColumn="6"/>
        </ext>
      </extLst>
    </cacheHierarchy>
    <cacheHierarchy uniqueName="[Measures].[StdDev of Tenure]" caption="StdDev of Tenure" measure="1" displayFolder="" measureGroup="Staff" count="0" hidden="1">
      <extLst>
        <ext xmlns:x15="http://schemas.microsoft.com/office/spreadsheetml/2010/11/main" uri="{B97F6D7D-B522-45F9-BDA1-12C45D357490}">
          <x15:cacheHierarchy aggregatedColumn="9"/>
        </ext>
      </extLst>
    </cacheHierarchy>
    <cacheHierarchy uniqueName="[Measures].[Max of Tenure]" caption="Max of Tenure" measure="1" displayFolder="" measureGroup="Staff" count="0" hidden="1">
      <extLst>
        <ext xmlns:x15="http://schemas.microsoft.com/office/spreadsheetml/2010/11/main" uri="{B97F6D7D-B522-45F9-BDA1-12C45D357490}">
          <x15:cacheHierarchy aggregatedColumn="9"/>
        </ext>
      </extLst>
    </cacheHierarchy>
    <cacheHierarchy uniqueName="[Measures].[Min of Tenure]" caption="Min of Tenure" measure="1" displayFolder="" measureGroup="Staff"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taff" uniqueName="[Staff]" caption="Staff"/>
  </dimensions>
  <measureGroups count="1">
    <measureGroup name="Staff" caption="Staff"/>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5.70105891204" backgroundQuery="1" createdVersion="8" refreshedVersion="8" minRefreshableVersion="3" recordCount="0" supportSubquery="1" supportAdvancedDrill="1" xr:uid="{A1273E85-B1E5-4C92-BF35-E77F94954EEA}">
  <cacheSource type="external" connectionId="4"/>
  <cacheFields count="3">
    <cacheField name="[Staff].[Country].[Country]" caption="Country" numFmtId="0" hierarchy="7" level="1">
      <sharedItems count="1">
        <s v="Nz"/>
      </sharedItems>
    </cacheField>
    <cacheField name="[Staff].[Department].[Department]" caption="Department" numFmtId="0" hierarchy="5" level="1">
      <sharedItems count="5">
        <s v="Finance"/>
        <s v="HR"/>
        <s v="Procurement"/>
        <s v="Sales"/>
        <s v="Website"/>
      </sharedItems>
    </cacheField>
    <cacheField name="[Measures].[Count of Name]" caption="Count of Name" numFmtId="0" hierarchy="13" level="32767"/>
  </cacheFields>
  <cacheHierarchies count="25">
    <cacheHierarchy uniqueName="[Staff].[Name]" caption="Name" attribute="1" defaultMemberUniqueName="[Staff].[Name].[All]" allUniqueName="[Staff].[Name].[All]" dimensionUniqueName="[Staff]" displayFolder="" count="0" memberValueDatatype="130" unbalanced="0"/>
    <cacheHierarchy uniqueName="[Staff].[Gender]" caption="Gender" attribute="1" defaultMemberUniqueName="[Staff].[Gender].[All]" allUniqueName="[Staff].[Gender].[All]" dimensionUniqueName="[Staff]" displayFolder="" count="0" memberValueDatatype="130" unbalanced="0"/>
    <cacheHierarchy uniqueName="[Staff].[Age]" caption="Age" attribute="1" defaultMemberUniqueName="[Staff].[Age].[All]" allUniqueName="[Staff].[Age].[All]" dimensionUniqueName="[Staff]" displayFolder="" count="0" memberValueDatatype="20" unbalanced="0"/>
    <cacheHierarchy uniqueName="[Staff].[Rating]" caption="Rating" attribute="1" defaultMemberUniqueName="[Staff].[Rating].[All]" allUniqueName="[Staff].[Rating].[All]" dimensionUniqueName="[Staff]" displayFolder="" count="0" memberValueDatatype="130" unbalanced="0"/>
    <cacheHierarchy uniqueName="[Staff].[Date Joined.1]" caption="Date Joined.1" attribute="1" time="1" defaultMemberUniqueName="[Staff].[Date Joined.1].[All]" allUniqueName="[Staff].[Date Joined.1].[All]" dimensionUniqueName="[Staff]" displayFolder="" count="0" memberValueDatatype="7" unbalanced="0"/>
    <cacheHierarchy uniqueName="[Staff].[Department]" caption="Department" attribute="1" defaultMemberUniqueName="[Staff].[Department].[All]" allUniqueName="[Staff].[Department].[All]" dimensionUniqueName="[Staff]" displayFolder="" count="2" memberValueDatatype="130" unbalanced="0">
      <fieldsUsage count="2">
        <fieldUsage x="-1"/>
        <fieldUsage x="1"/>
      </fieldsUsage>
    </cacheHierarchy>
    <cacheHierarchy uniqueName="[Staff].[Salary]" caption="Salary" attribute="1" defaultMemberUniqueName="[Staff].[Salary].[All]" allUniqueName="[Staff].[Salary].[All]" dimensionUniqueName="[Staff]" displayFolder="" count="0" memberValueDatatype="20" unbalanced="0"/>
    <cacheHierarchy uniqueName="[Staff].[Country]" caption="Country" attribute="1" defaultMemberUniqueName="[Staff].[Country].[All]" allUniqueName="[Staff].[Country].[All]" dimensionUniqueName="[Staff]" displayFolder="" count="2" memberValueDatatype="130" unbalanced="0">
      <fieldsUsage count="2">
        <fieldUsage x="-1"/>
        <fieldUsage x="0"/>
      </fieldsUsage>
    </cacheHierarchy>
    <cacheHierarchy uniqueName="[Staff].[Bonus]" caption="Bonus" attribute="1" defaultMemberUniqueName="[Staff].[Bonus].[All]" allUniqueName="[Staff].[Bonus].[All]" dimensionUniqueName="[Staff]" displayFolder="" count="0" memberValueDatatype="5" unbalanced="0"/>
    <cacheHierarchy uniqueName="[Staff].[Tenure]" caption="Tenure" attribute="1" defaultMemberUniqueName="[Staff].[Tenure].[All]" allUniqueName="[Staff].[Tenure].[All]" dimensionUniqueName="[Staff]" displayFolder="" count="0" memberValueDatatype="5" unbalanced="0"/>
    <cacheHierarchy uniqueName="[Staff].[Final Salary]" caption="Final Salary" attribute="1" defaultMemberUniqueName="[Staff].[Final Salary].[All]" allUniqueName="[Staff].[Final Salary].[All]" dimensionUniqueName="[Staff]" displayFolder="" count="0" memberValueDatatype="5" unbalanced="0"/>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Count of Name]" caption="Count of Name" measure="1" displayFolder="" measureGroup="Staff"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Staff"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taff"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Staff"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Staff" count="0" hidden="1">
      <extLst>
        <ext xmlns:x15="http://schemas.microsoft.com/office/spreadsheetml/2010/11/main" uri="{B97F6D7D-B522-45F9-BDA1-12C45D357490}">
          <x15:cacheHierarchy aggregatedColumn="6"/>
        </ext>
      </extLst>
    </cacheHierarchy>
    <cacheHierarchy uniqueName="[Measures].[Sum of Tenure]" caption="Sum of Tenure" measure="1" displayFolder="" measureGroup="Staff" count="0" hidden="1">
      <extLst>
        <ext xmlns:x15="http://schemas.microsoft.com/office/spreadsheetml/2010/11/main" uri="{B97F6D7D-B522-45F9-BDA1-12C45D357490}">
          <x15:cacheHierarchy aggregatedColumn="9"/>
        </ext>
      </extLst>
    </cacheHierarchy>
    <cacheHierarchy uniqueName="[Measures].[Average of Tenure]" caption="Average of Tenure" measure="1" displayFolder="" measureGroup="Staff" count="0" hidden="1">
      <extLst>
        <ext xmlns:x15="http://schemas.microsoft.com/office/spreadsheetml/2010/11/main" uri="{B97F6D7D-B522-45F9-BDA1-12C45D357490}">
          <x15:cacheHierarchy aggregatedColumn="9"/>
        </ext>
      </extLst>
    </cacheHierarchy>
    <cacheHierarchy uniqueName="[Measures].[StdDev of Age]" caption="StdDev of Age" measure="1" displayFolder="" measureGroup="Staff" count="0" hidden="1">
      <extLst>
        <ext xmlns:x15="http://schemas.microsoft.com/office/spreadsheetml/2010/11/main" uri="{B97F6D7D-B522-45F9-BDA1-12C45D357490}">
          <x15:cacheHierarchy aggregatedColumn="2"/>
        </ext>
      </extLst>
    </cacheHierarchy>
    <cacheHierarchy uniqueName="[Measures].[StdDev of Salary]" caption="StdDev of Salary" measure="1" displayFolder="" measureGroup="Staff" count="0" hidden="1">
      <extLst>
        <ext xmlns:x15="http://schemas.microsoft.com/office/spreadsheetml/2010/11/main" uri="{B97F6D7D-B522-45F9-BDA1-12C45D357490}">
          <x15:cacheHierarchy aggregatedColumn="6"/>
        </ext>
      </extLst>
    </cacheHierarchy>
    <cacheHierarchy uniqueName="[Measures].[StdDev of Tenure]" caption="StdDev of Tenure" measure="1" displayFolder="" measureGroup="Staff" count="0" hidden="1">
      <extLst>
        <ext xmlns:x15="http://schemas.microsoft.com/office/spreadsheetml/2010/11/main" uri="{B97F6D7D-B522-45F9-BDA1-12C45D357490}">
          <x15:cacheHierarchy aggregatedColumn="9"/>
        </ext>
      </extLst>
    </cacheHierarchy>
    <cacheHierarchy uniqueName="[Measures].[Max of Tenure]" caption="Max of Tenure" measure="1" displayFolder="" measureGroup="Staff" count="0" hidden="1">
      <extLst>
        <ext xmlns:x15="http://schemas.microsoft.com/office/spreadsheetml/2010/11/main" uri="{B97F6D7D-B522-45F9-BDA1-12C45D357490}">
          <x15:cacheHierarchy aggregatedColumn="9"/>
        </ext>
      </extLst>
    </cacheHierarchy>
    <cacheHierarchy uniqueName="[Measures].[Min of Tenure]" caption="Min of Tenure" measure="1" displayFolder="" measureGroup="Staff"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taff" uniqueName="[Staff]" caption="Staff"/>
  </dimensions>
  <measureGroups count="1">
    <measureGroup name="Staff" caption="Staff"/>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5.71357453704" backgroundQuery="1" createdVersion="8" refreshedVersion="8" minRefreshableVersion="3" recordCount="0" supportSubquery="1" supportAdvancedDrill="1" xr:uid="{C36A4D62-ED99-466D-8EE7-E52CBD2AE521}">
  <cacheSource type="external" connectionId="4"/>
  <cacheFields count="4">
    <cacheField name="[Staff].[Department].[Department]" caption="Department" numFmtId="0" hierarchy="5" level="1">
      <sharedItems count="5">
        <s v="Finance"/>
        <s v="HR"/>
        <s v="Procurement"/>
        <s v="Sales"/>
        <s v="Website"/>
      </sharedItems>
    </cacheField>
    <cacheField name="[Measures].[Max of Tenure]" caption="Max of Tenure" numFmtId="0" hierarchy="23" level="32767"/>
    <cacheField name="[Measures].[Min of Tenure]" caption="Min of Tenure" numFmtId="0" hierarchy="24" level="32767"/>
    <cacheField name="[Staff].[Country].[Country]" caption="Country" numFmtId="0" hierarchy="7" level="1">
      <sharedItems containsSemiMixedTypes="0" containsNonDate="0" containsString="0"/>
    </cacheField>
  </cacheFields>
  <cacheHierarchies count="25">
    <cacheHierarchy uniqueName="[Staff].[Name]" caption="Name" attribute="1" defaultMemberUniqueName="[Staff].[Name].[All]" allUniqueName="[Staff].[Name].[All]" dimensionUniqueName="[Staff]" displayFolder="" count="0" memberValueDatatype="130" unbalanced="0"/>
    <cacheHierarchy uniqueName="[Staff].[Gender]" caption="Gender" attribute="1" defaultMemberUniqueName="[Staff].[Gender].[All]" allUniqueName="[Staff].[Gender].[All]" dimensionUniqueName="[Staff]" displayFolder="" count="0" memberValueDatatype="130" unbalanced="0"/>
    <cacheHierarchy uniqueName="[Staff].[Age]" caption="Age" attribute="1" defaultMemberUniqueName="[Staff].[Age].[All]" allUniqueName="[Staff].[Age].[All]" dimensionUniqueName="[Staff]" displayFolder="" count="0" memberValueDatatype="20" unbalanced="0"/>
    <cacheHierarchy uniqueName="[Staff].[Rating]" caption="Rating" attribute="1" defaultMemberUniqueName="[Staff].[Rating].[All]" allUniqueName="[Staff].[Rating].[All]" dimensionUniqueName="[Staff]" displayFolder="" count="0" memberValueDatatype="130" unbalanced="0"/>
    <cacheHierarchy uniqueName="[Staff].[Date Joined.1]" caption="Date Joined.1" attribute="1" time="1" defaultMemberUniqueName="[Staff].[Date Joined.1].[All]" allUniqueName="[Staff].[Date Joined.1].[All]" dimensionUniqueName="[Staff]" displayFolder="" count="0" memberValueDatatype="7" unbalanced="0"/>
    <cacheHierarchy uniqueName="[Staff].[Department]" caption="Department" attribute="1" defaultMemberUniqueName="[Staff].[Department].[All]" allUniqueName="[Staff].[Department].[All]" dimensionUniqueName="[Staff]" displayFolder="" count="2" memberValueDatatype="130" unbalanced="0">
      <fieldsUsage count="2">
        <fieldUsage x="-1"/>
        <fieldUsage x="0"/>
      </fieldsUsage>
    </cacheHierarchy>
    <cacheHierarchy uniqueName="[Staff].[Salary]" caption="Salary" attribute="1" defaultMemberUniqueName="[Staff].[Salary].[All]" allUniqueName="[Staff].[Salary].[All]" dimensionUniqueName="[Staff]" displayFolder="" count="0" memberValueDatatype="20" unbalanced="0"/>
    <cacheHierarchy uniqueName="[Staff].[Country]" caption="Country" attribute="1" defaultMemberUniqueName="[Staff].[Country].[All]" allUniqueName="[Staff].[Country].[All]" dimensionUniqueName="[Staff]" displayFolder="" count="2" memberValueDatatype="130" unbalanced="0">
      <fieldsUsage count="2">
        <fieldUsage x="-1"/>
        <fieldUsage x="3"/>
      </fieldsUsage>
    </cacheHierarchy>
    <cacheHierarchy uniqueName="[Staff].[Bonus]" caption="Bonus" attribute="1" defaultMemberUniqueName="[Staff].[Bonus].[All]" allUniqueName="[Staff].[Bonus].[All]" dimensionUniqueName="[Staff]" displayFolder="" count="0" memberValueDatatype="5" unbalanced="0"/>
    <cacheHierarchy uniqueName="[Staff].[Tenure]" caption="Tenure" attribute="1" defaultMemberUniqueName="[Staff].[Tenure].[All]" allUniqueName="[Staff].[Tenure].[All]" dimensionUniqueName="[Staff]" displayFolder="" count="0" memberValueDatatype="5" unbalanced="0"/>
    <cacheHierarchy uniqueName="[Staff].[Final Salary]" caption="Final Salary" attribute="1" defaultMemberUniqueName="[Staff].[Final Salary].[All]" allUniqueName="[Staff].[Final Salary].[All]" dimensionUniqueName="[Staff]" displayFolder="" count="0" memberValueDatatype="5" unbalanced="0"/>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Count of Name]" caption="Count of Name" measure="1" displayFolder="" measureGroup="Staff"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Staff"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taff"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Staff"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Staff" count="0" hidden="1">
      <extLst>
        <ext xmlns:x15="http://schemas.microsoft.com/office/spreadsheetml/2010/11/main" uri="{B97F6D7D-B522-45F9-BDA1-12C45D357490}">
          <x15:cacheHierarchy aggregatedColumn="6"/>
        </ext>
      </extLst>
    </cacheHierarchy>
    <cacheHierarchy uniqueName="[Measures].[Sum of Tenure]" caption="Sum of Tenure" measure="1" displayFolder="" measureGroup="Staff" count="0" hidden="1">
      <extLst>
        <ext xmlns:x15="http://schemas.microsoft.com/office/spreadsheetml/2010/11/main" uri="{B97F6D7D-B522-45F9-BDA1-12C45D357490}">
          <x15:cacheHierarchy aggregatedColumn="9"/>
        </ext>
      </extLst>
    </cacheHierarchy>
    <cacheHierarchy uniqueName="[Measures].[Average of Tenure]" caption="Average of Tenure" measure="1" displayFolder="" measureGroup="Staff" count="0" hidden="1">
      <extLst>
        <ext xmlns:x15="http://schemas.microsoft.com/office/spreadsheetml/2010/11/main" uri="{B97F6D7D-B522-45F9-BDA1-12C45D357490}">
          <x15:cacheHierarchy aggregatedColumn="9"/>
        </ext>
      </extLst>
    </cacheHierarchy>
    <cacheHierarchy uniqueName="[Measures].[StdDev of Age]" caption="StdDev of Age" measure="1" displayFolder="" measureGroup="Staff" count="0" hidden="1">
      <extLst>
        <ext xmlns:x15="http://schemas.microsoft.com/office/spreadsheetml/2010/11/main" uri="{B97F6D7D-B522-45F9-BDA1-12C45D357490}">
          <x15:cacheHierarchy aggregatedColumn="2"/>
        </ext>
      </extLst>
    </cacheHierarchy>
    <cacheHierarchy uniqueName="[Measures].[StdDev of Salary]" caption="StdDev of Salary" measure="1" displayFolder="" measureGroup="Staff" count="0" hidden="1">
      <extLst>
        <ext xmlns:x15="http://schemas.microsoft.com/office/spreadsheetml/2010/11/main" uri="{B97F6D7D-B522-45F9-BDA1-12C45D357490}">
          <x15:cacheHierarchy aggregatedColumn="6"/>
        </ext>
      </extLst>
    </cacheHierarchy>
    <cacheHierarchy uniqueName="[Measures].[StdDev of Tenure]" caption="StdDev of Tenure" measure="1" displayFolder="" measureGroup="Staff" count="0" hidden="1">
      <extLst>
        <ext xmlns:x15="http://schemas.microsoft.com/office/spreadsheetml/2010/11/main" uri="{B97F6D7D-B522-45F9-BDA1-12C45D357490}">
          <x15:cacheHierarchy aggregatedColumn="9"/>
        </ext>
      </extLst>
    </cacheHierarchy>
    <cacheHierarchy uniqueName="[Measures].[Max of Tenure]" caption="Max of Tenure" measure="1" displayFolder="" measureGroup="Staff" count="0" oneField="1" hidden="1">
      <fieldsUsage count="1">
        <fieldUsage x="1"/>
      </fieldsUsage>
      <extLst>
        <ext xmlns:x15="http://schemas.microsoft.com/office/spreadsheetml/2010/11/main" uri="{B97F6D7D-B522-45F9-BDA1-12C45D357490}">
          <x15:cacheHierarchy aggregatedColumn="9"/>
        </ext>
      </extLst>
    </cacheHierarchy>
    <cacheHierarchy uniqueName="[Measures].[Min of Tenure]" caption="Min of Tenure" measure="1" displayFolder="" measureGroup="Staff" count="0" oneField="1" hidden="1">
      <fieldsUsage count="1">
        <fieldUsage x="2"/>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taff" uniqueName="[Staff]" caption="Staff"/>
  </dimensions>
  <measureGroups count="1">
    <measureGroup name="Staff" caption="Staff"/>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5.713671296297" backgroundQuery="1" createdVersion="8" refreshedVersion="8" minRefreshableVersion="3" recordCount="0" supportSubquery="1" supportAdvancedDrill="1" xr:uid="{4CC84ADC-D7EE-44BE-BE8F-359E288CE3D9}">
  <cacheSource type="external" connectionId="4"/>
  <cacheFields count="4">
    <cacheField name="[Staff].[Department].[Department]" caption="Department" numFmtId="0" hierarchy="5" level="1">
      <sharedItems count="5">
        <s v="Finance"/>
        <s v="HR"/>
        <s v="Procurement"/>
        <s v="Sales"/>
        <s v="Website"/>
      </sharedItems>
    </cacheField>
    <cacheField name="[Measures].[Max of Tenure]" caption="Max of Tenure" numFmtId="0" hierarchy="23" level="32767"/>
    <cacheField name="[Measures].[Min of Tenure]" caption="Min of Tenure" numFmtId="0" hierarchy="24" level="32767"/>
    <cacheField name="[Staff].[Country].[Country]" caption="Country" numFmtId="0" hierarchy="7" level="1">
      <sharedItems containsSemiMixedTypes="0" containsNonDate="0" containsString="0"/>
    </cacheField>
  </cacheFields>
  <cacheHierarchies count="25">
    <cacheHierarchy uniqueName="[Staff].[Name]" caption="Name" attribute="1" defaultMemberUniqueName="[Staff].[Name].[All]" allUniqueName="[Staff].[Name].[All]" dimensionUniqueName="[Staff]" displayFolder="" count="0" memberValueDatatype="130" unbalanced="0"/>
    <cacheHierarchy uniqueName="[Staff].[Gender]" caption="Gender" attribute="1" defaultMemberUniqueName="[Staff].[Gender].[All]" allUniqueName="[Staff].[Gender].[All]" dimensionUniqueName="[Staff]" displayFolder="" count="0" memberValueDatatype="130" unbalanced="0"/>
    <cacheHierarchy uniqueName="[Staff].[Age]" caption="Age" attribute="1" defaultMemberUniqueName="[Staff].[Age].[All]" allUniqueName="[Staff].[Age].[All]" dimensionUniqueName="[Staff]" displayFolder="" count="0" memberValueDatatype="20" unbalanced="0"/>
    <cacheHierarchy uniqueName="[Staff].[Rating]" caption="Rating" attribute="1" defaultMemberUniqueName="[Staff].[Rating].[All]" allUniqueName="[Staff].[Rating].[All]" dimensionUniqueName="[Staff]" displayFolder="" count="0" memberValueDatatype="130" unbalanced="0"/>
    <cacheHierarchy uniqueName="[Staff].[Date Joined.1]" caption="Date Joined.1" attribute="1" time="1" defaultMemberUniqueName="[Staff].[Date Joined.1].[All]" allUniqueName="[Staff].[Date Joined.1].[All]" dimensionUniqueName="[Staff]" displayFolder="" count="0" memberValueDatatype="7" unbalanced="0"/>
    <cacheHierarchy uniqueName="[Staff].[Department]" caption="Department" attribute="1" defaultMemberUniqueName="[Staff].[Department].[All]" allUniqueName="[Staff].[Department].[All]" dimensionUniqueName="[Staff]" displayFolder="" count="2" memberValueDatatype="130" unbalanced="0">
      <fieldsUsage count="2">
        <fieldUsage x="-1"/>
        <fieldUsage x="0"/>
      </fieldsUsage>
    </cacheHierarchy>
    <cacheHierarchy uniqueName="[Staff].[Salary]" caption="Salary" attribute="1" defaultMemberUniqueName="[Staff].[Salary].[All]" allUniqueName="[Staff].[Salary].[All]" dimensionUniqueName="[Staff]" displayFolder="" count="0" memberValueDatatype="20" unbalanced="0"/>
    <cacheHierarchy uniqueName="[Staff].[Country]" caption="Country" attribute="1" defaultMemberUniqueName="[Staff].[Country].[All]" allUniqueName="[Staff].[Country].[All]" dimensionUniqueName="[Staff]" displayFolder="" count="2" memberValueDatatype="130" unbalanced="0">
      <fieldsUsage count="2">
        <fieldUsage x="-1"/>
        <fieldUsage x="3"/>
      </fieldsUsage>
    </cacheHierarchy>
    <cacheHierarchy uniqueName="[Staff].[Bonus]" caption="Bonus" attribute="1" defaultMemberUniqueName="[Staff].[Bonus].[All]" allUniqueName="[Staff].[Bonus].[All]" dimensionUniqueName="[Staff]" displayFolder="" count="0" memberValueDatatype="5" unbalanced="0"/>
    <cacheHierarchy uniqueName="[Staff].[Tenure]" caption="Tenure" attribute="1" defaultMemberUniqueName="[Staff].[Tenure].[All]" allUniqueName="[Staff].[Tenure].[All]" dimensionUniqueName="[Staff]" displayFolder="" count="0" memberValueDatatype="5" unbalanced="0"/>
    <cacheHierarchy uniqueName="[Staff].[Final Salary]" caption="Final Salary" attribute="1" defaultMemberUniqueName="[Staff].[Final Salary].[All]" allUniqueName="[Staff].[Final Salary].[All]" dimensionUniqueName="[Staff]" displayFolder="" count="0" memberValueDatatype="5" unbalanced="0"/>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Count of Name]" caption="Count of Name" measure="1" displayFolder="" measureGroup="Staff"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Staff"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taff"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Staff"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Staff" count="0" hidden="1">
      <extLst>
        <ext xmlns:x15="http://schemas.microsoft.com/office/spreadsheetml/2010/11/main" uri="{B97F6D7D-B522-45F9-BDA1-12C45D357490}">
          <x15:cacheHierarchy aggregatedColumn="6"/>
        </ext>
      </extLst>
    </cacheHierarchy>
    <cacheHierarchy uniqueName="[Measures].[Sum of Tenure]" caption="Sum of Tenure" measure="1" displayFolder="" measureGroup="Staff" count="0" hidden="1">
      <extLst>
        <ext xmlns:x15="http://schemas.microsoft.com/office/spreadsheetml/2010/11/main" uri="{B97F6D7D-B522-45F9-BDA1-12C45D357490}">
          <x15:cacheHierarchy aggregatedColumn="9"/>
        </ext>
      </extLst>
    </cacheHierarchy>
    <cacheHierarchy uniqueName="[Measures].[Average of Tenure]" caption="Average of Tenure" measure="1" displayFolder="" measureGroup="Staff" count="0" hidden="1">
      <extLst>
        <ext xmlns:x15="http://schemas.microsoft.com/office/spreadsheetml/2010/11/main" uri="{B97F6D7D-B522-45F9-BDA1-12C45D357490}">
          <x15:cacheHierarchy aggregatedColumn="9"/>
        </ext>
      </extLst>
    </cacheHierarchy>
    <cacheHierarchy uniqueName="[Measures].[StdDev of Age]" caption="StdDev of Age" measure="1" displayFolder="" measureGroup="Staff" count="0" hidden="1">
      <extLst>
        <ext xmlns:x15="http://schemas.microsoft.com/office/spreadsheetml/2010/11/main" uri="{B97F6D7D-B522-45F9-BDA1-12C45D357490}">
          <x15:cacheHierarchy aggregatedColumn="2"/>
        </ext>
      </extLst>
    </cacheHierarchy>
    <cacheHierarchy uniqueName="[Measures].[StdDev of Salary]" caption="StdDev of Salary" measure="1" displayFolder="" measureGroup="Staff" count="0" hidden="1">
      <extLst>
        <ext xmlns:x15="http://schemas.microsoft.com/office/spreadsheetml/2010/11/main" uri="{B97F6D7D-B522-45F9-BDA1-12C45D357490}">
          <x15:cacheHierarchy aggregatedColumn="6"/>
        </ext>
      </extLst>
    </cacheHierarchy>
    <cacheHierarchy uniqueName="[Measures].[StdDev of Tenure]" caption="StdDev of Tenure" measure="1" displayFolder="" measureGroup="Staff" count="0" hidden="1">
      <extLst>
        <ext xmlns:x15="http://schemas.microsoft.com/office/spreadsheetml/2010/11/main" uri="{B97F6D7D-B522-45F9-BDA1-12C45D357490}">
          <x15:cacheHierarchy aggregatedColumn="9"/>
        </ext>
      </extLst>
    </cacheHierarchy>
    <cacheHierarchy uniqueName="[Measures].[Max of Tenure]" caption="Max of Tenure" measure="1" displayFolder="" measureGroup="Staff" count="0" oneField="1" hidden="1">
      <fieldsUsage count="1">
        <fieldUsage x="1"/>
      </fieldsUsage>
      <extLst>
        <ext xmlns:x15="http://schemas.microsoft.com/office/spreadsheetml/2010/11/main" uri="{B97F6D7D-B522-45F9-BDA1-12C45D357490}">
          <x15:cacheHierarchy aggregatedColumn="9"/>
        </ext>
      </extLst>
    </cacheHierarchy>
    <cacheHierarchy uniqueName="[Measures].[Min of Tenure]" caption="Min of Tenure" measure="1" displayFolder="" measureGroup="Staff" count="0" oneField="1" hidden="1">
      <fieldsUsage count="1">
        <fieldUsage x="2"/>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taff" uniqueName="[Staff]" caption="Staff"/>
  </dimensions>
  <measureGroups count="1">
    <measureGroup name="Staff" caption="Staff"/>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4.826149652778" backgroundQuery="1" createdVersion="3" refreshedVersion="8" minRefreshableVersion="3" recordCount="0" supportSubquery="1" supportAdvancedDrill="1" xr:uid="{BE345F47-6075-49B9-95DC-48A036F8B3FC}">
  <cacheSource type="external" connectionId="4">
    <extLst>
      <ext xmlns:x14="http://schemas.microsoft.com/office/spreadsheetml/2009/9/main" uri="{F057638F-6D5F-4e77-A914-E7F072B9BCA8}">
        <x14:sourceConnection name="ThisWorkbookDataModel"/>
      </ext>
    </extLst>
  </cacheSource>
  <cacheFields count="0"/>
  <cacheHierarchies count="23">
    <cacheHierarchy uniqueName="[Staff].[Name]" caption="Name" attribute="1" defaultMemberUniqueName="[Staff].[Name].[All]" allUniqueName="[Staff].[Name].[All]" dimensionUniqueName="[Staff]" displayFolder="" count="0" memberValueDatatype="130" unbalanced="0"/>
    <cacheHierarchy uniqueName="[Staff].[Gender]" caption="Gender" attribute="1" defaultMemberUniqueName="[Staff].[Gender].[All]" allUniqueName="[Staff].[Gender].[All]" dimensionUniqueName="[Staff]" displayFolder="" count="0" memberValueDatatype="130" unbalanced="0"/>
    <cacheHierarchy uniqueName="[Staff].[Age]" caption="Age" attribute="1" defaultMemberUniqueName="[Staff].[Age].[All]" allUniqueName="[Staff].[Age].[All]" dimensionUniqueName="[Staff]" displayFolder="" count="0" memberValueDatatype="20" unbalanced="0"/>
    <cacheHierarchy uniqueName="[Staff].[Rating]" caption="Rating" attribute="1" defaultMemberUniqueName="[Staff].[Rating].[All]" allUniqueName="[Staff].[Rating].[All]" dimensionUniqueName="[Staff]" displayFolder="" count="0" memberValueDatatype="130" unbalanced="0"/>
    <cacheHierarchy uniqueName="[Staff].[Date Joined.1]" caption="Date Joined.1" attribute="1" time="1" defaultMemberUniqueName="[Staff].[Date Joined.1].[All]" allUniqueName="[Staff].[Date Joined.1].[All]" dimensionUniqueName="[Staff]" displayFolder="" count="0" memberValueDatatype="7" unbalanced="0"/>
    <cacheHierarchy uniqueName="[Staff].[Department]" caption="Department" attribute="1" defaultMemberUniqueName="[Staff].[Department].[All]" allUniqueName="[Staff].[Department].[All]" dimensionUniqueName="[Staff]" displayFolder="" count="0" memberValueDatatype="130" unbalanced="0"/>
    <cacheHierarchy uniqueName="[Staff].[Salary]" caption="Salary" attribute="1" defaultMemberUniqueName="[Staff].[Salary].[All]" allUniqueName="[Staff].[Salary].[All]" dimensionUniqueName="[Staff]" displayFolder="" count="0" memberValueDatatype="20" unbalanced="0"/>
    <cacheHierarchy uniqueName="[Staff].[Country]" caption="Country" attribute="1" defaultMemberUniqueName="[Staff].[Country].[All]" allUniqueName="[Staff].[Country].[All]" dimensionUniqueName="[Staff]" displayFolder="" count="2" memberValueDatatype="130" unbalanced="0"/>
    <cacheHierarchy uniqueName="[Staff].[Bonus]" caption="Bonus" attribute="1" defaultMemberUniqueName="[Staff].[Bonus].[All]" allUniqueName="[Staff].[Bonus].[All]" dimensionUniqueName="[Staff]" displayFolder="" count="0" memberValueDatatype="5" unbalanced="0"/>
    <cacheHierarchy uniqueName="[Staff].[Tenure]" caption="Tenure" attribute="1" defaultMemberUniqueName="[Staff].[Tenure].[All]" allUniqueName="[Staff].[Tenure].[All]" dimensionUniqueName="[Staff]" displayFolder="" count="0" memberValueDatatype="5" unbalanced="0"/>
    <cacheHierarchy uniqueName="[Staff].[Final Salary]" caption="Final Salary" attribute="1" defaultMemberUniqueName="[Staff].[Final Salary].[All]" allUniqueName="[Staff].[Final Salary].[All]" dimensionUniqueName="[Staff]" displayFolder="" count="0" memberValueDatatype="5" unbalanced="0"/>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Count of Name]" caption="Count of Name" measure="1" displayFolder="" measureGroup="Staff"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Staff"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taff"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Staff"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Staff" count="0" hidden="1">
      <extLst>
        <ext xmlns:x15="http://schemas.microsoft.com/office/spreadsheetml/2010/11/main" uri="{B97F6D7D-B522-45F9-BDA1-12C45D357490}">
          <x15:cacheHierarchy aggregatedColumn="6"/>
        </ext>
      </extLst>
    </cacheHierarchy>
    <cacheHierarchy uniqueName="[Measures].[Sum of Tenure]" caption="Sum of Tenure" measure="1" displayFolder="" measureGroup="Staff" count="0" hidden="1">
      <extLst>
        <ext xmlns:x15="http://schemas.microsoft.com/office/spreadsheetml/2010/11/main" uri="{B97F6D7D-B522-45F9-BDA1-12C45D357490}">
          <x15:cacheHierarchy aggregatedColumn="9"/>
        </ext>
      </extLst>
    </cacheHierarchy>
    <cacheHierarchy uniqueName="[Measures].[Average of Tenure]" caption="Average of Tenure" measure="1" displayFolder="" measureGroup="Staff" count="0" hidden="1">
      <extLst>
        <ext xmlns:x15="http://schemas.microsoft.com/office/spreadsheetml/2010/11/main" uri="{B97F6D7D-B522-45F9-BDA1-12C45D357490}">
          <x15:cacheHierarchy aggregatedColumn="9"/>
        </ext>
      </extLst>
    </cacheHierarchy>
    <cacheHierarchy uniqueName="[Measures].[StdDev of Age]" caption="StdDev of Age" measure="1" displayFolder="" measureGroup="Staff" count="0" hidden="1">
      <extLst>
        <ext xmlns:x15="http://schemas.microsoft.com/office/spreadsheetml/2010/11/main" uri="{B97F6D7D-B522-45F9-BDA1-12C45D357490}">
          <x15:cacheHierarchy aggregatedColumn="2"/>
        </ext>
      </extLst>
    </cacheHierarchy>
    <cacheHierarchy uniqueName="[Measures].[StdDev of Salary]" caption="StdDev of Salary" measure="1" displayFolder="" measureGroup="Staff" count="0" hidden="1">
      <extLst>
        <ext xmlns:x15="http://schemas.microsoft.com/office/spreadsheetml/2010/11/main" uri="{B97F6D7D-B522-45F9-BDA1-12C45D357490}">
          <x15:cacheHierarchy aggregatedColumn="6"/>
        </ext>
      </extLst>
    </cacheHierarchy>
    <cacheHierarchy uniqueName="[Measures].[StdDev of Tenure]" caption="StdDev of Tenure" measure="1" displayFolder="" measureGroup="Staff"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209276711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3">
  <r>
    <s v="Shubhra Potla"/>
    <s v="Female"/>
    <n v="21"/>
    <x v="0"/>
    <x v="0"/>
    <x v="0"/>
    <x v="0"/>
    <x v="0"/>
    <n v="1017.5999999999999"/>
    <n v="4.0712328767123287"/>
    <n v="34937.599999999999"/>
  </r>
  <r>
    <s v="Gretchen Callow"/>
    <s v="Female"/>
    <n v="21"/>
    <x v="0"/>
    <x v="1"/>
    <x v="0"/>
    <x v="0"/>
    <x v="1"/>
    <n v="1017.5999999999999"/>
    <n v="3.9095890410958902"/>
    <n v="34937.599999999999"/>
  </r>
  <r>
    <s v="Suchira Bhanupriya Tapti"/>
    <s v="Female"/>
    <n v="29"/>
    <x v="0"/>
    <x v="2"/>
    <x v="0"/>
    <x v="1"/>
    <x v="0"/>
    <n v="1049.3999999999999"/>
    <n v="5.8712328767123285"/>
    <n v="36029.4"/>
  </r>
  <r>
    <s v="Niall Selesnick"/>
    <s v="Female"/>
    <n v="29"/>
    <x v="0"/>
    <x v="3"/>
    <x v="0"/>
    <x v="1"/>
    <x v="1"/>
    <n v="1049.3999999999999"/>
    <n v="5.7041095890410958"/>
    <n v="36029.4"/>
  </r>
  <r>
    <s v="Waheeda Vasuman"/>
    <s v="Male"/>
    <n v="43"/>
    <x v="0"/>
    <x v="4"/>
    <x v="1"/>
    <x v="2"/>
    <x v="0"/>
    <n v="1081.2"/>
    <n v="4.2383561643835614"/>
    <n v="37121.199999999997"/>
  </r>
  <r>
    <s v="Bili Sizey"/>
    <s v="Male"/>
    <n v="43"/>
    <x v="0"/>
    <x v="5"/>
    <x v="1"/>
    <x v="2"/>
    <x v="1"/>
    <n v="1081.2"/>
    <n v="4.0684931506849313"/>
    <n v="37121.199999999997"/>
  </r>
  <r>
    <s v="Akbar Sorabhjee"/>
    <s v="Male"/>
    <n v="21"/>
    <x v="0"/>
    <x v="6"/>
    <x v="2"/>
    <x v="3"/>
    <x v="0"/>
    <n v="1137.5999999999999"/>
    <n v="5.6520547945205477"/>
    <n v="39057.599999999999"/>
  </r>
  <r>
    <s v="Orton Livick"/>
    <s v="Male"/>
    <n v="21"/>
    <x v="0"/>
    <x v="7"/>
    <x v="2"/>
    <x v="3"/>
    <x v="1"/>
    <n v="1137.5999999999999"/>
    <n v="5.4821917808219176"/>
    <n v="39057.599999999999"/>
  </r>
  <r>
    <s v="Shobhana Samuel"/>
    <s v="Male"/>
    <n v="35"/>
    <x v="0"/>
    <x v="8"/>
    <x v="2"/>
    <x v="4"/>
    <x v="0"/>
    <n v="1212"/>
    <n v="3.9424657534246577"/>
    <n v="41612"/>
  </r>
  <r>
    <s v="Archibald Filliskirk"/>
    <s v="Male"/>
    <n v="35"/>
    <x v="0"/>
    <x v="9"/>
    <x v="2"/>
    <x v="4"/>
    <x v="1"/>
    <n v="1212"/>
    <n v="3.7753424657534245"/>
    <n v="41612"/>
  </r>
  <r>
    <s v="Prerana Nishita"/>
    <s v="Female"/>
    <n v="32"/>
    <x v="0"/>
    <x v="10"/>
    <x v="2"/>
    <x v="5"/>
    <x v="0"/>
    <n v="1247.0999999999999"/>
    <n v="4.2630136986301368"/>
    <n v="42817.1"/>
  </r>
  <r>
    <s v="Crissie Cordel"/>
    <s v="Female"/>
    <n v="32"/>
    <x v="0"/>
    <x v="11"/>
    <x v="2"/>
    <x v="5"/>
    <x v="1"/>
    <n v="1247.0999999999999"/>
    <n v="4.0931506849315067"/>
    <n v="42817.1"/>
  </r>
  <r>
    <s v="Jagajeet Viraj"/>
    <s v="Female"/>
    <n v="31"/>
    <x v="0"/>
    <x v="12"/>
    <x v="0"/>
    <x v="6"/>
    <x v="0"/>
    <n v="1259.3999999999999"/>
    <n v="5.536986301369863"/>
    <n v="43239.4"/>
  </r>
  <r>
    <s v="Dotty Strutley"/>
    <s v="Female"/>
    <n v="31"/>
    <x v="0"/>
    <x v="13"/>
    <x v="0"/>
    <x v="6"/>
    <x v="1"/>
    <n v="1259.3999999999999"/>
    <n v="5.3698630136986303"/>
    <n v="43239.4"/>
  </r>
  <r>
    <s v="Rupak Mehra"/>
    <s v="Male"/>
    <n v="28"/>
    <x v="1"/>
    <x v="14"/>
    <x v="1"/>
    <x v="7"/>
    <x v="0"/>
    <n v="1305.3"/>
    <n v="3.6904109589041094"/>
    <n v="44815.3"/>
  </r>
  <r>
    <s v="Drusy MacCombe"/>
    <s v="Male"/>
    <n v="28"/>
    <x v="1"/>
    <x v="15"/>
    <x v="1"/>
    <x v="7"/>
    <x v="1"/>
    <n v="1305.3"/>
    <n v="3.5205479452054793"/>
    <n v="44815.3"/>
  </r>
  <r>
    <s v="Yagna Sujeev"/>
    <s v="Female"/>
    <n v="32"/>
    <x v="2"/>
    <x v="16"/>
    <x v="0"/>
    <x v="8"/>
    <x v="0"/>
    <n v="1315.2"/>
    <n v="4.9643835616438352"/>
    <n v="45155.199999999997"/>
  </r>
  <r>
    <s v="Kassi Jonson"/>
    <s v="Female"/>
    <n v="32"/>
    <x v="2"/>
    <x v="17"/>
    <x v="0"/>
    <x v="8"/>
    <x v="1"/>
    <n v="1315.2"/>
    <n v="4.7972602739726025"/>
    <n v="45155.199999999997"/>
  </r>
  <r>
    <s v="Madhavdas Buhpathi"/>
    <s v="Female"/>
    <n v="32"/>
    <x v="0"/>
    <x v="18"/>
    <x v="3"/>
    <x v="9"/>
    <x v="0"/>
    <n v="1365.3"/>
    <n v="4.838356164383562"/>
    <n v="46875.3"/>
  </r>
  <r>
    <s v="Florinda Crace"/>
    <s v="Female"/>
    <n v="32"/>
    <x v="0"/>
    <x v="19"/>
    <x v="3"/>
    <x v="9"/>
    <x v="1"/>
    <n v="1365.3"/>
    <n v="4.6712328767123283"/>
    <n v="46875.3"/>
  </r>
  <r>
    <s v="Shiuli Sapna"/>
    <s v="Male"/>
    <n v="26"/>
    <x v="0"/>
    <x v="20"/>
    <x v="2"/>
    <x v="10"/>
    <x v="0"/>
    <n v="1420.8"/>
    <n v="5.3178082191780822"/>
    <n v="48780.800000000003"/>
  </r>
  <r>
    <s v="Dell Molloy"/>
    <s v="Male"/>
    <n v="26"/>
    <x v="0"/>
    <x v="21"/>
    <x v="2"/>
    <x v="10"/>
    <x v="1"/>
    <n v="1420.8"/>
    <n v="5.1506849315068495"/>
    <n v="48780.800000000003"/>
  </r>
  <r>
    <s v="Ardhendu Abhichandra Jayakar"/>
    <s v="Male"/>
    <n v="28"/>
    <x v="2"/>
    <x v="22"/>
    <x v="4"/>
    <x v="11"/>
    <x v="0"/>
    <n v="1445.1"/>
    <n v="5.8219178082191778"/>
    <n v="49615.1"/>
  </r>
  <r>
    <s v="Jan Morforth"/>
    <s v="Male"/>
    <n v="28"/>
    <x v="2"/>
    <x v="23"/>
    <x v="4"/>
    <x v="11"/>
    <x v="1"/>
    <n v="1445.1"/>
    <n v="5.6547945205479451"/>
    <n v="49615.1"/>
  </r>
  <r>
    <s v="Piyali Mahanthapa"/>
    <s v="Male"/>
    <n v="33"/>
    <x v="2"/>
    <x v="24"/>
    <x v="2"/>
    <x v="12"/>
    <x v="0"/>
    <n v="1455.8999999999999"/>
    <n v="4.0136986301369859"/>
    <n v="49985.9"/>
  </r>
  <r>
    <s v="Erin Androsik"/>
    <s v="Male"/>
    <n v="33"/>
    <x v="2"/>
    <x v="25"/>
    <x v="2"/>
    <x v="12"/>
    <x v="1"/>
    <n v="1455.8999999999999"/>
    <n v="3.8465753424657536"/>
    <n v="49985.9"/>
  </r>
  <r>
    <s v="Amal Nimesh"/>
    <s v="Male"/>
    <n v="31"/>
    <x v="0"/>
    <x v="26"/>
    <x v="0"/>
    <x v="13"/>
    <x v="0"/>
    <n v="1468.5"/>
    <n v="4.5342465753424657"/>
    <n v="50418.5"/>
  </r>
  <r>
    <s v="Gunar Cockshoot"/>
    <s v="Male"/>
    <n v="31"/>
    <x v="0"/>
    <x v="27"/>
    <x v="0"/>
    <x v="13"/>
    <x v="1"/>
    <n v="1468.5"/>
    <n v="4.3671232876712329"/>
    <n v="50418.5"/>
  </r>
  <r>
    <s v="Vanmala Shriharsha"/>
    <s v="Male"/>
    <n v="27"/>
    <x v="0"/>
    <x v="28"/>
    <x v="4"/>
    <x v="14"/>
    <x v="0"/>
    <n v="1469.3999999999999"/>
    <n v="4.3808219178082188"/>
    <n v="50449.4"/>
  </r>
  <r>
    <s v="Esmaria Denecamp"/>
    <s v="Male"/>
    <n v="27"/>
    <x v="0"/>
    <x v="29"/>
    <x v="4"/>
    <x v="14"/>
    <x v="1"/>
    <n v="1469.3999999999999"/>
    <n v="4.2136986301369861"/>
    <n v="50449.4"/>
  </r>
  <r>
    <s v="Daruka Ghazali"/>
    <s v="Female"/>
    <n v="34"/>
    <x v="3"/>
    <x v="30"/>
    <x v="1"/>
    <x v="15"/>
    <x v="0"/>
    <n v="1488.8999999999999"/>
    <n v="3.9589041095890409"/>
    <n v="51118.9"/>
  </r>
  <r>
    <s v="Violante Courtonne"/>
    <s v="Female"/>
    <n v="34"/>
    <x v="3"/>
    <x v="31"/>
    <x v="1"/>
    <x v="15"/>
    <x v="1"/>
    <n v="1488.8999999999999"/>
    <n v="3.7917808219178082"/>
    <n v="51118.9"/>
  </r>
  <r>
    <s v="Gumwant Veera"/>
    <s v="Male"/>
    <n v="24"/>
    <x v="3"/>
    <x v="32"/>
    <x v="4"/>
    <x v="16"/>
    <x v="0"/>
    <n v="1578.3"/>
    <n v="4.7397260273972606"/>
    <n v="54188.3"/>
  </r>
  <r>
    <s v="Kaye Crocroft"/>
    <s v="Male"/>
    <n v="24"/>
    <x v="3"/>
    <x v="33"/>
    <x v="4"/>
    <x v="16"/>
    <x v="1"/>
    <n v="1578.3"/>
    <n v="4.5726027397260278"/>
    <n v="54188.3"/>
  </r>
  <r>
    <s v="Anumati Shyamari Meherhomji"/>
    <s v="Female"/>
    <n v="28"/>
    <x v="0"/>
    <x v="34"/>
    <x v="1"/>
    <x v="17"/>
    <x v="0"/>
    <n v="1597.2"/>
    <n v="4.956164383561644"/>
    <n v="54837.2"/>
  </r>
  <r>
    <s v="Tatum Hush"/>
    <s v="Female"/>
    <n v="28"/>
    <x v="0"/>
    <x v="35"/>
    <x v="1"/>
    <x v="17"/>
    <x v="1"/>
    <n v="1597.2"/>
    <n v="4.7890410958904113"/>
    <n v="54837.2"/>
  </r>
  <r>
    <s v="Geena Raghavanpillai"/>
    <s v="Male"/>
    <n v="32"/>
    <x v="0"/>
    <x v="36"/>
    <x v="1"/>
    <x v="18"/>
    <x v="0"/>
    <n v="1606.2"/>
    <n v="4.6630136986301371"/>
    <n v="55146.2"/>
  </r>
  <r>
    <s v="Chitrasen Laul"/>
    <s v="Male"/>
    <n v="26"/>
    <x v="0"/>
    <x v="37"/>
    <x v="2"/>
    <x v="18"/>
    <x v="0"/>
    <n v="1606.2"/>
    <n v="4.8082191780821919"/>
    <n v="55146.2"/>
  </r>
  <r>
    <s v="Hoyt D'Alesco"/>
    <s v="Male"/>
    <n v="32"/>
    <x v="0"/>
    <x v="38"/>
    <x v="1"/>
    <x v="18"/>
    <x v="1"/>
    <n v="1606.2"/>
    <n v="4.493150684931507"/>
    <n v="55146.2"/>
  </r>
  <r>
    <s v="Zach Polon"/>
    <s v="Male"/>
    <n v="26"/>
    <x v="0"/>
    <x v="39"/>
    <x v="2"/>
    <x v="18"/>
    <x v="1"/>
    <n v="1606.2"/>
    <n v="4.6410958904109592"/>
    <n v="55146.2"/>
  </r>
  <r>
    <s v="Pragya Nilufar"/>
    <s v="Male"/>
    <n v="33"/>
    <x v="0"/>
    <x v="40"/>
    <x v="0"/>
    <x v="19"/>
    <x v="0"/>
    <n v="1616.1"/>
    <n v="4.5397260273972604"/>
    <n v="55486.1"/>
  </r>
  <r>
    <s v="William Reeveley"/>
    <s v="Male"/>
    <n v="33"/>
    <x v="0"/>
    <x v="41"/>
    <x v="0"/>
    <x v="19"/>
    <x v="1"/>
    <n v="1616.1"/>
    <n v="4.3726027397260276"/>
    <n v="55486.1"/>
  </r>
  <r>
    <s v="Sanchali Shirish"/>
    <s v="Male"/>
    <n v="27"/>
    <x v="0"/>
    <x v="42"/>
    <x v="1"/>
    <x v="20"/>
    <x v="0"/>
    <n v="1649.1"/>
    <n v="5.5671232876712331"/>
    <n v="56619.1"/>
  </r>
  <r>
    <s v="Alta Kaszper"/>
    <s v="Male"/>
    <n v="27"/>
    <x v="0"/>
    <x v="43"/>
    <x v="1"/>
    <x v="20"/>
    <x v="1"/>
    <n v="1649.1"/>
    <n v="5.4"/>
    <n v="56619.1"/>
  </r>
  <r>
    <s v="Mirium Seemantini Shivakumar"/>
    <s v="Female"/>
    <n v="38"/>
    <x v="2"/>
    <x v="44"/>
    <x v="1"/>
    <x v="21"/>
    <x v="0"/>
    <n v="1706.1"/>
    <n v="5.0328767123287674"/>
    <n v="58576.1"/>
  </r>
  <r>
    <s v="Oran Buxcy"/>
    <s v="Female"/>
    <n v="38"/>
    <x v="2"/>
    <x v="45"/>
    <x v="1"/>
    <x v="21"/>
    <x v="1"/>
    <n v="1706.1"/>
    <n v="4.8657534246575347"/>
    <n v="58576.1"/>
  </r>
  <r>
    <s v="Shattesh Utpat"/>
    <s v="Male"/>
    <n v="21"/>
    <x v="0"/>
    <x v="25"/>
    <x v="2"/>
    <x v="22"/>
    <x v="0"/>
    <n v="1712.7"/>
    <n v="3.8465753424657536"/>
    <n v="58802.7"/>
  </r>
  <r>
    <s v="Kelci Walkden"/>
    <s v="Male"/>
    <n v="21"/>
    <x v="0"/>
    <x v="46"/>
    <x v="2"/>
    <x v="22"/>
    <x v="1"/>
    <n v="1712.7"/>
    <n v="3.6794520547945204"/>
    <n v="58802.7"/>
  </r>
  <r>
    <s v="Pratigya Rema"/>
    <s v="Female"/>
    <n v="31"/>
    <x v="0"/>
    <x v="47"/>
    <x v="0"/>
    <x v="23"/>
    <x v="0"/>
    <n v="1743"/>
    <n v="4.1123287671232873"/>
    <n v="59843"/>
  </r>
  <r>
    <s v="Brien Boise"/>
    <s v="Female"/>
    <n v="31"/>
    <x v="0"/>
    <x v="48"/>
    <x v="0"/>
    <x v="23"/>
    <x v="1"/>
    <n v="1743"/>
    <n v="3.9506849315068493"/>
    <n v="59843"/>
  </r>
  <r>
    <s v="Krittika Gaekwad"/>
    <s v="Female"/>
    <n v="34"/>
    <x v="0"/>
    <x v="49"/>
    <x v="4"/>
    <x v="24"/>
    <x v="0"/>
    <n v="1768.2"/>
    <n v="4.13972602739726"/>
    <n v="60708.2"/>
  </r>
  <r>
    <s v="Oby Sorrel"/>
    <s v="Female"/>
    <n v="34"/>
    <x v="0"/>
    <x v="50"/>
    <x v="4"/>
    <x v="24"/>
    <x v="1"/>
    <n v="1768.2"/>
    <n v="3.978082191780822"/>
    <n v="60708.2"/>
  </r>
  <r>
    <s v="Vinanti Choudhari"/>
    <s v="Male"/>
    <n v="19"/>
    <x v="0"/>
    <x v="51"/>
    <x v="2"/>
    <x v="25"/>
    <x v="0"/>
    <n v="1768.8"/>
    <n v="5.1698630136986301"/>
    <n v="60728.800000000003"/>
  </r>
  <r>
    <s v="Lilyan Klimpt"/>
    <s v="Male"/>
    <n v="19"/>
    <x v="0"/>
    <x v="52"/>
    <x v="2"/>
    <x v="25"/>
    <x v="1"/>
    <n v="1768.8"/>
    <n v="5.0082191780821921"/>
    <n v="60728.800000000003"/>
  </r>
  <r>
    <s v="Asija Pothireddy"/>
    <s v="Male"/>
    <n v="33"/>
    <x v="0"/>
    <x v="53"/>
    <x v="4"/>
    <x v="26"/>
    <x v="0"/>
    <n v="1782.8999999999999"/>
    <n v="5.2712328767123289"/>
    <n v="61212.9"/>
  </r>
  <r>
    <s v="My Hanscome"/>
    <s v="Male"/>
    <n v="33"/>
    <x v="0"/>
    <x v="54"/>
    <x v="4"/>
    <x v="26"/>
    <x v="1"/>
    <n v="1782.8999999999999"/>
    <n v="5.1013698630136988"/>
    <n v="61212.9"/>
  </r>
  <r>
    <s v="Lalit Kothari"/>
    <s v="Female"/>
    <n v="34"/>
    <x v="0"/>
    <x v="55"/>
    <x v="4"/>
    <x v="27"/>
    <x v="0"/>
    <n v="1803.8999999999999"/>
    <n v="4.2602739726027394"/>
    <n v="61933.9"/>
  </r>
  <r>
    <s v="Jehu Rudeforth"/>
    <s v="Female"/>
    <n v="34"/>
    <x v="0"/>
    <x v="56"/>
    <x v="4"/>
    <x v="27"/>
    <x v="1"/>
    <n v="1803.8999999999999"/>
    <n v="4.0904109589041093"/>
    <n v="61933.9"/>
  </r>
  <r>
    <s v="Mardav Ramaswami"/>
    <s v="Male"/>
    <n v="30"/>
    <x v="0"/>
    <x v="57"/>
    <x v="2"/>
    <x v="28"/>
    <x v="0"/>
    <n v="1817.1"/>
    <n v="4.1041095890410961"/>
    <n v="62387.1"/>
  </r>
  <r>
    <s v="Mallorie Waber"/>
    <s v="Male"/>
    <n v="30"/>
    <x v="0"/>
    <x v="8"/>
    <x v="2"/>
    <x v="28"/>
    <x v="1"/>
    <n v="1817.1"/>
    <n v="3.9424657534246577"/>
    <n v="62387.1"/>
  </r>
  <r>
    <s v="Fullara Sushanti Mokate"/>
    <s v="Female"/>
    <n v="24"/>
    <x v="0"/>
    <x v="58"/>
    <x v="0"/>
    <x v="29"/>
    <x v="0"/>
    <n v="1883.3999999999999"/>
    <n v="5.5287671232876709"/>
    <n v="64663.4"/>
  </r>
  <r>
    <s v="Vic Radolf"/>
    <s v="Female"/>
    <n v="24"/>
    <x v="0"/>
    <x v="59"/>
    <x v="0"/>
    <x v="29"/>
    <x v="1"/>
    <n v="1883.3999999999999"/>
    <n v="5.3616438356164382"/>
    <n v="64663.4"/>
  </r>
  <r>
    <s v="Upendra Swati"/>
    <s v="Other"/>
    <n v="30"/>
    <x v="0"/>
    <x v="60"/>
    <x v="4"/>
    <x v="30"/>
    <x v="0"/>
    <n v="1920"/>
    <n v="4.3013698630136989"/>
    <n v="65920"/>
  </r>
  <r>
    <s v="Curtice Advani"/>
    <s v="Other"/>
    <n v="30"/>
    <x v="0"/>
    <x v="61"/>
    <x v="4"/>
    <x v="30"/>
    <x v="1"/>
    <n v="1920"/>
    <n v="4.1315068493150688"/>
    <n v="65920"/>
  </r>
  <r>
    <s v="Kevalkumar Solanki"/>
    <s v="Female"/>
    <n v="33"/>
    <x v="0"/>
    <x v="62"/>
    <x v="4"/>
    <x v="31"/>
    <x v="0"/>
    <n v="1960.8"/>
    <n v="5.7506849315068491"/>
    <n v="67320.800000000003"/>
  </r>
  <r>
    <s v="Teressa Udden"/>
    <s v="Female"/>
    <n v="33"/>
    <x v="0"/>
    <x v="63"/>
    <x v="4"/>
    <x v="31"/>
    <x v="1"/>
    <n v="1960.8"/>
    <n v="5.5835616438356164"/>
    <n v="67320.800000000003"/>
  </r>
  <r>
    <s v="Abhaya Priyavardhan"/>
    <s v="Male"/>
    <n v="25"/>
    <x v="0"/>
    <x v="64"/>
    <x v="1"/>
    <x v="32"/>
    <x v="0"/>
    <n v="1971"/>
    <n v="4.8849315068493153"/>
    <n v="67671"/>
  </r>
  <r>
    <s v="Kath Bletsoe"/>
    <s v="Male"/>
    <n v="25"/>
    <x v="0"/>
    <x v="65"/>
    <x v="1"/>
    <x v="32"/>
    <x v="1"/>
    <n v="1971"/>
    <n v="4.7178082191780826"/>
    <n v="67671"/>
  </r>
  <r>
    <s v="Agrata Rajarama"/>
    <s v="Female"/>
    <n v="21"/>
    <x v="0"/>
    <x v="66"/>
    <x v="4"/>
    <x v="33"/>
    <x v="0"/>
    <n v="1977.6"/>
    <n v="5.065753424657534"/>
    <n v="67897.600000000006"/>
  </r>
  <r>
    <s v="Marney O'Breen"/>
    <s v="Female"/>
    <n v="21"/>
    <x v="0"/>
    <x v="67"/>
    <x v="4"/>
    <x v="33"/>
    <x v="1"/>
    <n v="1977.6"/>
    <n v="4.8986301369863012"/>
    <n v="67897.600000000006"/>
  </r>
  <r>
    <s v="Kantimoy Pritish"/>
    <s v="Female"/>
    <n v="30"/>
    <x v="3"/>
    <x v="68"/>
    <x v="4"/>
    <x v="34"/>
    <x v="0"/>
    <n v="2037.3"/>
    <n v="4.8684931506849312"/>
    <n v="69947.3"/>
  </r>
  <r>
    <s v="Husein Augar"/>
    <s v="Female"/>
    <n v="30"/>
    <x v="3"/>
    <x v="69"/>
    <x v="4"/>
    <x v="34"/>
    <x v="1"/>
    <n v="2037.3"/>
    <n v="4.7013698630136984"/>
    <n v="69947.3"/>
  </r>
  <r>
    <s v="Mahindra Sreedharan"/>
    <s v="Male"/>
    <n v="30"/>
    <x v="0"/>
    <x v="24"/>
    <x v="2"/>
    <x v="35"/>
    <x v="0"/>
    <n v="2038.5"/>
    <n v="4.0136986301369859"/>
    <n v="69988.5"/>
  </r>
  <r>
    <s v="Ebonee Roxburgh"/>
    <s v="Male"/>
    <n v="30"/>
    <x v="0"/>
    <x v="25"/>
    <x v="2"/>
    <x v="35"/>
    <x v="1"/>
    <n v="2038.5"/>
    <n v="3.8465753424657536"/>
    <n v="69988.5"/>
  </r>
  <r>
    <s v="Devasree Fullara Saurin"/>
    <s v="Female"/>
    <n v="20"/>
    <x v="3"/>
    <x v="70"/>
    <x v="1"/>
    <x v="36"/>
    <x v="0"/>
    <n v="2067"/>
    <n v="4.463013698630137"/>
    <n v="70967"/>
  </r>
  <r>
    <s v="Hyacinthie Braybrooke"/>
    <s v="Female"/>
    <n v="20"/>
    <x v="3"/>
    <x v="71"/>
    <x v="1"/>
    <x v="36"/>
    <x v="1"/>
    <n v="2067"/>
    <n v="4.2958904109589042"/>
    <n v="70967"/>
  </r>
  <r>
    <s v="Jaishree Atasi Yavatkar"/>
    <s v="Male"/>
    <n v="37"/>
    <x v="0"/>
    <x v="24"/>
    <x v="0"/>
    <x v="37"/>
    <x v="0"/>
    <n v="2072.1"/>
    <n v="4.0136986301369859"/>
    <n v="71142.100000000006"/>
  </r>
  <r>
    <s v="Murry Dryburgh"/>
    <s v="Male"/>
    <n v="37"/>
    <x v="0"/>
    <x v="25"/>
    <x v="0"/>
    <x v="37"/>
    <x v="1"/>
    <n v="2072.1"/>
    <n v="3.8465753424657536"/>
    <n v="71142.100000000006"/>
  </r>
  <r>
    <s v="Rameshwari Chikodi"/>
    <s v="Male"/>
    <n v="30"/>
    <x v="0"/>
    <x v="72"/>
    <x v="0"/>
    <x v="38"/>
    <x v="0"/>
    <n v="2073.6"/>
    <n v="5.1808219178082195"/>
    <n v="71193.600000000006"/>
  </r>
  <r>
    <s v="Andria Kimpton"/>
    <s v="Male"/>
    <n v="30"/>
    <x v="0"/>
    <x v="73"/>
    <x v="0"/>
    <x v="38"/>
    <x v="1"/>
    <n v="2073.6"/>
    <n v="5.0191780821917806"/>
    <n v="71193.600000000006"/>
  </r>
  <r>
    <s v="Shekhar Eswara"/>
    <s v="Male"/>
    <n v="30"/>
    <x v="0"/>
    <x v="74"/>
    <x v="0"/>
    <x v="39"/>
    <x v="0"/>
    <n v="2091.2999999999997"/>
    <n v="3.6054794520547944"/>
    <n v="71801.3"/>
  </r>
  <r>
    <s v="Myer McCory"/>
    <s v="Male"/>
    <n v="30"/>
    <x v="0"/>
    <x v="75"/>
    <x v="0"/>
    <x v="39"/>
    <x v="1"/>
    <n v="2091.2999999999997"/>
    <n v="3.4383561643835616"/>
    <n v="71801.3"/>
  </r>
  <r>
    <s v="Chandana Sannidhi Surnilla"/>
    <s v="Male"/>
    <n v="42"/>
    <x v="3"/>
    <x v="76"/>
    <x v="4"/>
    <x v="40"/>
    <x v="0"/>
    <n v="2108.1"/>
    <n v="3.9315068493150687"/>
    <n v="72378.100000000006"/>
  </r>
  <r>
    <s v="Shayne Stegel"/>
    <s v="Male"/>
    <n v="42"/>
    <x v="3"/>
    <x v="77"/>
    <x v="4"/>
    <x v="40"/>
    <x v="1"/>
    <n v="2108.1"/>
    <n v="3.7643835616438355"/>
    <n v="72378.100000000006"/>
  </r>
  <r>
    <s v="Ranajay Kailashnath Richa"/>
    <s v="Male"/>
    <n v="46"/>
    <x v="0"/>
    <x v="78"/>
    <x v="2"/>
    <x v="41"/>
    <x v="0"/>
    <n v="2118.2999999999997"/>
    <n v="3.8575342465753426"/>
    <n v="72728.3"/>
  </r>
  <r>
    <s v="Ambros Murthwaite"/>
    <s v="Male"/>
    <n v="46"/>
    <x v="0"/>
    <x v="14"/>
    <x v="2"/>
    <x v="41"/>
    <x v="1"/>
    <n v="2118.2999999999997"/>
    <n v="3.6904109589041094"/>
    <n v="72728.3"/>
  </r>
  <r>
    <s v="Kulbhushan Moorthy"/>
    <s v="Male"/>
    <n v="36"/>
    <x v="0"/>
    <x v="79"/>
    <x v="4"/>
    <x v="42"/>
    <x v="0"/>
    <n v="2141.4"/>
    <n v="5.021917808219178"/>
    <n v="73521.399999999994"/>
  </r>
  <r>
    <s v="Bennie Pepis"/>
    <s v="Male"/>
    <n v="36"/>
    <x v="0"/>
    <x v="80"/>
    <x v="4"/>
    <x v="42"/>
    <x v="1"/>
    <n v="2141.4"/>
    <n v="4.8547945205479452"/>
    <n v="73521.399999999994"/>
  </r>
  <r>
    <s v="Yauvani Tarpa"/>
    <s v="Male"/>
    <n v="33"/>
    <x v="0"/>
    <x v="81"/>
    <x v="1"/>
    <x v="43"/>
    <x v="0"/>
    <n v="2236.5"/>
    <n v="4.8794520547945206"/>
    <n v="76786.5"/>
  </r>
  <r>
    <s v="Gigi Bohling"/>
    <s v="Male"/>
    <n v="33"/>
    <x v="0"/>
    <x v="82"/>
    <x v="1"/>
    <x v="43"/>
    <x v="1"/>
    <n v="2236.5"/>
    <n v="4.7123287671232879"/>
    <n v="76786.5"/>
  </r>
  <r>
    <s v="Nanak Sapna"/>
    <s v="Female"/>
    <n v="42"/>
    <x v="4"/>
    <x v="83"/>
    <x v="2"/>
    <x v="44"/>
    <x v="0"/>
    <n v="2250"/>
    <n v="3.8"/>
    <n v="77250"/>
  </r>
  <r>
    <s v="Barr Faughny"/>
    <s v="Female"/>
    <n v="42"/>
    <x v="4"/>
    <x v="84"/>
    <x v="2"/>
    <x v="44"/>
    <x v="1"/>
    <n v="2250"/>
    <n v="3.6328767123287671"/>
    <n v="77250"/>
  </r>
  <r>
    <s v="Hemavati Muthiah"/>
    <s v="Female"/>
    <n v="33"/>
    <x v="0"/>
    <x v="85"/>
    <x v="0"/>
    <x v="45"/>
    <x v="0"/>
    <n v="2258.4"/>
    <n v="5.0739726027397261"/>
    <n v="77538.399999999994"/>
  </r>
  <r>
    <s v="Elia Cockton"/>
    <s v="Female"/>
    <n v="33"/>
    <x v="0"/>
    <x v="86"/>
    <x v="0"/>
    <x v="45"/>
    <x v="1"/>
    <n v="2258.4"/>
    <n v="4.912328767123288"/>
    <n v="77538.399999999994"/>
  </r>
  <r>
    <s v="Ayog Chakrabarti"/>
    <s v="Female"/>
    <n v="33"/>
    <x v="1"/>
    <x v="87"/>
    <x v="0"/>
    <x v="46"/>
    <x v="0"/>
    <n v="2264.4"/>
    <n v="4.9095890410958907"/>
    <n v="77744.399999999994"/>
  </r>
  <r>
    <s v="Camilla Castle"/>
    <s v="Female"/>
    <n v="33"/>
    <x v="1"/>
    <x v="88"/>
    <x v="0"/>
    <x v="46"/>
    <x v="1"/>
    <n v="2264.4"/>
    <n v="4.7424657534246579"/>
    <n v="77744.399999999994"/>
  </r>
  <r>
    <s v="Sameer Shashank Sapra"/>
    <s v="Male"/>
    <n v="21"/>
    <x v="0"/>
    <x v="89"/>
    <x v="3"/>
    <x v="47"/>
    <x v="0"/>
    <n v="2276.4"/>
    <n v="5.2739726027397262"/>
    <n v="78156.399999999994"/>
  </r>
  <r>
    <s v="Shari McNee"/>
    <s v="Male"/>
    <n v="21"/>
    <x v="0"/>
    <x v="90"/>
    <x v="3"/>
    <x v="47"/>
    <x v="1"/>
    <n v="2276.4"/>
    <n v="5.1041095890410961"/>
    <n v="78156.399999999994"/>
  </r>
  <r>
    <s v="Indu Varada Sumedh"/>
    <s v="Female"/>
    <n v="28"/>
    <x v="0"/>
    <x v="91"/>
    <x v="4"/>
    <x v="48"/>
    <x v="0"/>
    <n v="2279.1"/>
    <n v="5.4273972602739722"/>
    <n v="78249.100000000006"/>
  </r>
  <r>
    <s v="Beverie Moffet"/>
    <s v="Female"/>
    <n v="28"/>
    <x v="0"/>
    <x v="92"/>
    <x v="4"/>
    <x v="48"/>
    <x v="1"/>
    <n v="2279.1"/>
    <n v="5.2602739726027394"/>
    <n v="78249.100000000006"/>
  </r>
  <r>
    <s v="Shreela Ramasubraman"/>
    <s v="Female"/>
    <n v="22"/>
    <x v="2"/>
    <x v="93"/>
    <x v="2"/>
    <x v="49"/>
    <x v="0"/>
    <n v="2307"/>
    <n v="4.7041095890410958"/>
    <n v="79207"/>
  </r>
  <r>
    <s v="Virginia McConville"/>
    <s v="Female"/>
    <n v="22"/>
    <x v="2"/>
    <x v="26"/>
    <x v="2"/>
    <x v="49"/>
    <x v="1"/>
    <n v="2307"/>
    <n v="4.5342465753424657"/>
    <n v="79207"/>
  </r>
  <r>
    <s v="Rushil Kripa"/>
    <s v="Female"/>
    <n v="36"/>
    <x v="0"/>
    <x v="94"/>
    <x v="2"/>
    <x v="50"/>
    <x v="0"/>
    <n v="2351.6999999999998"/>
    <n v="4.484931506849315"/>
    <n v="80741.7"/>
  </r>
  <r>
    <s v="Allene Gobbet"/>
    <s v="Female"/>
    <n v="36"/>
    <x v="0"/>
    <x v="95"/>
    <x v="2"/>
    <x v="50"/>
    <x v="1"/>
    <n v="2351.6999999999998"/>
    <n v="4.3178082191780822"/>
    <n v="80741.7"/>
  </r>
  <r>
    <s v="Shulabh Qutub Sundaramoorthy"/>
    <s v="Female"/>
    <n v="36"/>
    <x v="0"/>
    <x v="96"/>
    <x v="1"/>
    <x v="51"/>
    <x v="0"/>
    <n v="2356.1999999999998"/>
    <n v="4.580821917808219"/>
    <n v="80896.2"/>
  </r>
  <r>
    <s v="Gray Seamon"/>
    <s v="Female"/>
    <n v="36"/>
    <x v="0"/>
    <x v="97"/>
    <x v="1"/>
    <x v="51"/>
    <x v="1"/>
    <n v="2356.1999999999998"/>
    <n v="4.4136986301369863"/>
    <n v="80896.2"/>
  </r>
  <r>
    <s v="Udyan Lanka"/>
    <s v="Male"/>
    <n v="20"/>
    <x v="0"/>
    <x v="98"/>
    <x v="2"/>
    <x v="52"/>
    <x v="0"/>
    <n v="2387.1"/>
    <n v="3.8958904109589043"/>
    <n v="81957.100000000006"/>
  </r>
  <r>
    <s v="Kellsie Waby"/>
    <s v="Male"/>
    <n v="20"/>
    <x v="0"/>
    <x v="99"/>
    <x v="2"/>
    <x v="52"/>
    <x v="1"/>
    <n v="2387.1"/>
    <n v="3.7287671232876711"/>
    <n v="81957.100000000006"/>
  </r>
  <r>
    <s v="Bhuvan Pals"/>
    <s v="Female"/>
    <n v="25"/>
    <x v="2"/>
    <x v="100"/>
    <x v="0"/>
    <x v="53"/>
    <x v="0"/>
    <n v="2421"/>
    <n v="4.0328767123287674"/>
    <n v="83121"/>
  </r>
  <r>
    <s v="Van Tuxwell"/>
    <s v="Female"/>
    <n v="25"/>
    <x v="2"/>
    <x v="101"/>
    <x v="0"/>
    <x v="53"/>
    <x v="1"/>
    <n v="2421"/>
    <n v="3.8657534246575342"/>
    <n v="83121"/>
  </r>
  <r>
    <s v="Kunja Prashanta Vibha"/>
    <s v="Female"/>
    <n v="27"/>
    <x v="0"/>
    <x v="102"/>
    <x v="0"/>
    <x v="54"/>
    <x v="0"/>
    <n v="2512.5"/>
    <n v="4.0547945205479454"/>
    <n v="86262.5"/>
  </r>
  <r>
    <s v="Agnes Collicott"/>
    <s v="Female"/>
    <n v="27"/>
    <x v="0"/>
    <x v="103"/>
    <x v="0"/>
    <x v="54"/>
    <x v="1"/>
    <n v="2512.5"/>
    <n v="3.8876712328767122"/>
    <n v="86262.5"/>
  </r>
  <r>
    <s v="Tarala Vishaal"/>
    <s v="Female"/>
    <n v="34"/>
    <x v="0"/>
    <x v="104"/>
    <x v="4"/>
    <x v="55"/>
    <x v="0"/>
    <n v="2550"/>
    <n v="4.6794520547945204"/>
    <n v="87550"/>
  </r>
  <r>
    <s v="Karlen McCaffrey"/>
    <s v="Female"/>
    <n v="34"/>
    <x v="0"/>
    <x v="105"/>
    <x v="4"/>
    <x v="55"/>
    <x v="1"/>
    <n v="2550"/>
    <n v="4.5095890410958903"/>
    <n v="87550"/>
  </r>
  <r>
    <s v="Madhumati Gazala Soumitra"/>
    <s v="Female"/>
    <n v="33"/>
    <x v="0"/>
    <x v="106"/>
    <x v="4"/>
    <x v="56"/>
    <x v="0"/>
    <n v="2597.1"/>
    <n v="3.7205479452054795"/>
    <n v="89167.1"/>
  </r>
  <r>
    <s v="Sibyl Dunkirk"/>
    <s v="Female"/>
    <n v="33"/>
    <x v="0"/>
    <x v="107"/>
    <x v="4"/>
    <x v="56"/>
    <x v="1"/>
    <n v="2597.1"/>
    <n v="3.5506849315068494"/>
    <n v="89167.1"/>
  </r>
  <r>
    <s v="Godavari Veena"/>
    <s v="Female"/>
    <n v="40"/>
    <x v="0"/>
    <x v="108"/>
    <x v="0"/>
    <x v="57"/>
    <x v="0"/>
    <n v="2628.6"/>
    <n v="5.0109589041095894"/>
    <n v="90248.6"/>
  </r>
  <r>
    <s v="Merrilee Plenty"/>
    <s v="Female"/>
    <n v="40"/>
    <x v="0"/>
    <x v="109"/>
    <x v="0"/>
    <x v="57"/>
    <x v="1"/>
    <n v="2628.6"/>
    <n v="4.8438356164383558"/>
    <n v="90248.6"/>
  </r>
  <r>
    <s v="Gangadutt Ragha"/>
    <s v="Male"/>
    <n v="37"/>
    <x v="3"/>
    <x v="52"/>
    <x v="0"/>
    <x v="58"/>
    <x v="0"/>
    <n v="2641.5"/>
    <n v="5.0082191780821921"/>
    <n v="90691.5"/>
  </r>
  <r>
    <s v="Ches Bonnell"/>
    <s v="Male"/>
    <n v="37"/>
    <x v="3"/>
    <x v="110"/>
    <x v="0"/>
    <x v="58"/>
    <x v="1"/>
    <n v="2641.5"/>
    <n v="4.8410958904109593"/>
    <n v="90691.5"/>
  </r>
  <r>
    <s v="Karuna Pashupathy"/>
    <s v="Other"/>
    <n v="27"/>
    <x v="2"/>
    <x v="111"/>
    <x v="0"/>
    <x v="59"/>
    <x v="0"/>
    <n v="2721"/>
    <n v="5.1863013698630134"/>
    <n v="93421"/>
  </r>
  <r>
    <s v="Dennison Crosswaite"/>
    <s v="Other"/>
    <n v="26"/>
    <x v="2"/>
    <x v="112"/>
    <x v="0"/>
    <x v="59"/>
    <x v="1"/>
    <n v="2721"/>
    <n v="5.0246575342465754"/>
    <n v="93421"/>
  </r>
  <r>
    <s v="Rukma Vinita"/>
    <s v="Other"/>
    <n v="32"/>
    <x v="0"/>
    <x v="113"/>
    <x v="0"/>
    <x v="60"/>
    <x v="0"/>
    <n v="2739.2999999999997"/>
    <n v="3.8136986301369862"/>
    <n v="94049.3"/>
  </r>
  <r>
    <s v="Madge McCloughen"/>
    <s v="Other"/>
    <n v="32"/>
    <x v="0"/>
    <x v="114"/>
    <x v="0"/>
    <x v="60"/>
    <x v="1"/>
    <n v="2739.2999999999997"/>
    <n v="3.6465753424657534"/>
    <n v="94049.3"/>
  </r>
  <r>
    <s v="Kamalakshi Mukundan"/>
    <s v="Male"/>
    <n v="27"/>
    <x v="2"/>
    <x v="115"/>
    <x v="4"/>
    <x v="61"/>
    <x v="0"/>
    <n v="2749.5"/>
    <n v="5.2904109589041095"/>
    <n v="94399.5"/>
  </r>
  <r>
    <s v="Enoch Dowrey"/>
    <s v="Male"/>
    <n v="27"/>
    <x v="2"/>
    <x v="116"/>
    <x v="4"/>
    <x v="61"/>
    <x v="1"/>
    <n v="2749.5"/>
    <n v="5.1205479452054794"/>
    <n v="94399.5"/>
  </r>
  <r>
    <s v="Deepit Ranjana"/>
    <s v="Female"/>
    <n v="34"/>
    <x v="0"/>
    <x v="65"/>
    <x v="4"/>
    <x v="62"/>
    <x v="0"/>
    <n v="2773.5"/>
    <n v="4.7178082191780826"/>
    <n v="95223.5"/>
  </r>
  <r>
    <s v="Leilah Yesinin"/>
    <s v="Female"/>
    <n v="34"/>
    <x v="0"/>
    <x v="117"/>
    <x v="4"/>
    <x v="62"/>
    <x v="1"/>
    <n v="2773.5"/>
    <n v="4.5479452054794525"/>
    <n v="95223.5"/>
  </r>
  <r>
    <s v="Purnendu Vijayarangan"/>
    <s v="Female"/>
    <n v="25"/>
    <x v="0"/>
    <x v="118"/>
    <x v="1"/>
    <x v="63"/>
    <x v="0"/>
    <n v="2781"/>
    <n v="5.3726027397260276"/>
    <n v="95481"/>
  </r>
  <r>
    <s v="Hinda Label"/>
    <s v="Female"/>
    <n v="25"/>
    <x v="0"/>
    <x v="119"/>
    <x v="1"/>
    <x v="63"/>
    <x v="1"/>
    <n v="2781"/>
    <n v="5.2054794520547949"/>
    <n v="95481"/>
  </r>
  <r>
    <s v="Sukhdev Nageshwar"/>
    <s v="Female"/>
    <n v="33"/>
    <x v="0"/>
    <x v="120"/>
    <x v="0"/>
    <x v="64"/>
    <x v="0"/>
    <n v="2884.2"/>
    <n v="5.4136986301369863"/>
    <n v="99024.2"/>
  </r>
  <r>
    <s v="Torrance Collier"/>
    <s v="Female"/>
    <n v="33"/>
    <x v="0"/>
    <x v="121"/>
    <x v="0"/>
    <x v="64"/>
    <x v="1"/>
    <n v="2884.2"/>
    <n v="5.2465753424657535"/>
    <n v="99024.2"/>
  </r>
  <r>
    <s v="Mithil Nadkarni"/>
    <s v="Male"/>
    <n v="30"/>
    <x v="0"/>
    <x v="122"/>
    <x v="4"/>
    <x v="65"/>
    <x v="0"/>
    <n v="2904"/>
    <n v="4.2767123287671236"/>
    <n v="99704"/>
  </r>
  <r>
    <s v="Constantino Espley"/>
    <s v="Male"/>
    <n v="30"/>
    <x v="0"/>
    <x v="123"/>
    <x v="4"/>
    <x v="65"/>
    <x v="1"/>
    <n v="2904"/>
    <n v="4.1068493150684935"/>
    <n v="99704"/>
  </r>
  <r>
    <s v="Baruna Ogale"/>
    <s v="Male"/>
    <n v="40"/>
    <x v="0"/>
    <x v="124"/>
    <x v="2"/>
    <x v="66"/>
    <x v="0"/>
    <n v="2992.5"/>
    <n v="5.2082191780821914"/>
    <n v="102742.5"/>
  </r>
  <r>
    <s v="Simon Kembery"/>
    <s v="Male"/>
    <n v="40"/>
    <x v="0"/>
    <x v="125"/>
    <x v="2"/>
    <x v="66"/>
    <x v="1"/>
    <n v="2992.5"/>
    <n v="5.0465753424657533"/>
    <n v="102742.5"/>
  </r>
  <r>
    <s v="Vasu Nandin"/>
    <s v="Female"/>
    <n v="28"/>
    <x v="0"/>
    <x v="126"/>
    <x v="2"/>
    <x v="67"/>
    <x v="0"/>
    <n v="2999.1"/>
    <n v="4.2027397260273975"/>
    <n v="102969.1"/>
  </r>
  <r>
    <s v="Bernie Gorges"/>
    <s v="Female"/>
    <n v="28"/>
    <x v="0"/>
    <x v="127"/>
    <x v="2"/>
    <x v="67"/>
    <x v="1"/>
    <n v="2999.1"/>
    <n v="4.0410958904109586"/>
    <n v="102969.1"/>
  </r>
  <r>
    <s v="Amlankusum Rajabhushan"/>
    <s v="Male"/>
    <n v="24"/>
    <x v="0"/>
    <x v="102"/>
    <x v="0"/>
    <x v="68"/>
    <x v="0"/>
    <n v="3012.6"/>
    <n v="4.0547945205479454"/>
    <n v="103432.6"/>
  </r>
  <r>
    <s v="Collin Jagson"/>
    <s v="Male"/>
    <n v="24"/>
    <x v="0"/>
    <x v="103"/>
    <x v="0"/>
    <x v="68"/>
    <x v="1"/>
    <n v="3012.6"/>
    <n v="3.8876712328767122"/>
    <n v="103432.6"/>
  </r>
  <r>
    <s v="Satyendra Venkatadri"/>
    <s v="Male"/>
    <n v="31"/>
    <x v="0"/>
    <x v="48"/>
    <x v="2"/>
    <x v="69"/>
    <x v="0"/>
    <n v="3106.5"/>
    <n v="3.9506849315068493"/>
    <n v="106656.5"/>
  </r>
  <r>
    <s v="Dyna Doucette"/>
    <s v="Male"/>
    <n v="31"/>
    <x v="0"/>
    <x v="128"/>
    <x v="2"/>
    <x v="69"/>
    <x v="1"/>
    <n v="3106.5"/>
    <n v="3.7835616438356166"/>
    <n v="106656.5"/>
  </r>
  <r>
    <s v="Sartaj Probal"/>
    <s v="Female"/>
    <n v="28"/>
    <x v="0"/>
    <x v="129"/>
    <x v="2"/>
    <x v="70"/>
    <x v="0"/>
    <n v="3123.6"/>
    <n v="4.1506849315068495"/>
    <n v="107243.6"/>
  </r>
  <r>
    <s v="Cherlyn Barter"/>
    <s v="Female"/>
    <n v="28"/>
    <x v="0"/>
    <x v="130"/>
    <x v="2"/>
    <x v="70"/>
    <x v="1"/>
    <n v="3123.6"/>
    <n v="3.989041095890411"/>
    <n v="107243.6"/>
  </r>
  <r>
    <s v="Manjusri Ruchi"/>
    <s v="Female"/>
    <n v="40"/>
    <x v="0"/>
    <x v="131"/>
    <x v="0"/>
    <x v="71"/>
    <x v="0"/>
    <n v="3132.2999999999997"/>
    <n v="4.8904109589041092"/>
    <n v="107542.3"/>
  </r>
  <r>
    <s v="Caro Chappel"/>
    <s v="Female"/>
    <n v="40"/>
    <x v="0"/>
    <x v="132"/>
    <x v="0"/>
    <x v="71"/>
    <x v="1"/>
    <n v="3132.2999999999997"/>
    <n v="4.7232876712328764"/>
    <n v="107542.3"/>
  </r>
  <r>
    <s v="Shevantilal Muppala"/>
    <s v="Female"/>
    <n v="28"/>
    <x v="0"/>
    <x v="133"/>
    <x v="2"/>
    <x v="72"/>
    <x v="0"/>
    <n v="3143.1"/>
    <n v="4.602739726027397"/>
    <n v="107913.1"/>
  </r>
  <r>
    <s v="Janene Hairsine"/>
    <s v="Female"/>
    <n v="28"/>
    <x v="0"/>
    <x v="134"/>
    <x v="2"/>
    <x v="72"/>
    <x v="1"/>
    <n v="3143.1"/>
    <n v="4.4356164383561643"/>
    <n v="107913.1"/>
  </r>
  <r>
    <s v="Sahas Sanabhi Shrikant"/>
    <s v="Male"/>
    <n v="23"/>
    <x v="0"/>
    <x v="135"/>
    <x v="2"/>
    <x v="73"/>
    <x v="0"/>
    <n v="3193.7999999999997"/>
    <n v="4.7315068493150685"/>
    <n v="109653.8"/>
  </r>
  <r>
    <s v="Kissiah Maydway"/>
    <s v="Male"/>
    <n v="23"/>
    <x v="0"/>
    <x v="136"/>
    <x v="2"/>
    <x v="73"/>
    <x v="1"/>
    <n v="3193.7999999999997"/>
    <n v="4.5616438356164384"/>
    <n v="109653.8"/>
  </r>
  <r>
    <s v="Hridaynath Tendulkar"/>
    <s v="Male"/>
    <n v="20"/>
    <x v="0"/>
    <x v="104"/>
    <x v="0"/>
    <x v="74"/>
    <x v="0"/>
    <n v="3231"/>
    <n v="4.6794520547945204"/>
    <n v="110931"/>
  </r>
  <r>
    <s v="Kaine Padly"/>
    <s v="Male"/>
    <n v="20"/>
    <x v="0"/>
    <x v="105"/>
    <x v="0"/>
    <x v="74"/>
    <x v="1"/>
    <n v="3231"/>
    <n v="4.5095890410958903"/>
    <n v="110931"/>
  </r>
  <r>
    <s v="Sawini Chandan"/>
    <s v="Female"/>
    <n v="38"/>
    <x v="4"/>
    <x v="137"/>
    <x v="1"/>
    <x v="75"/>
    <x v="0"/>
    <n v="3274.7999999999997"/>
    <n v="4.9013698630136986"/>
    <n v="112434.8"/>
  </r>
  <r>
    <s v="Rafaelita Blaksland"/>
    <s v="Female"/>
    <n v="38"/>
    <x v="4"/>
    <x v="138"/>
    <x v="1"/>
    <x v="75"/>
    <x v="1"/>
    <n v="3274.7999999999997"/>
    <n v="4.7342465753424658"/>
    <n v="112434.8"/>
  </r>
  <r>
    <s v="Damayanti Thangavadivelu"/>
    <s v="Male"/>
    <n v="25"/>
    <x v="2"/>
    <x v="139"/>
    <x v="2"/>
    <x v="76"/>
    <x v="0"/>
    <n v="3275.7"/>
    <n v="3.9452054794520546"/>
    <n v="112465.7"/>
  </r>
  <r>
    <s v="Madelene Upcott"/>
    <s v="Male"/>
    <n v="25"/>
    <x v="2"/>
    <x v="140"/>
    <x v="2"/>
    <x v="76"/>
    <x v="1"/>
    <n v="3275.7"/>
    <n v="3.7780821917808218"/>
    <n v="112465.7"/>
  </r>
  <r>
    <s v="Narois Motiwala"/>
    <s v="Male"/>
    <n v="29"/>
    <x v="3"/>
    <x v="141"/>
    <x v="0"/>
    <x v="77"/>
    <x v="0"/>
    <n v="3363.2999999999997"/>
    <n v="5.441095890410959"/>
    <n v="115473.3"/>
  </r>
  <r>
    <s v="Bev Lashley"/>
    <s v="Male"/>
    <n v="29"/>
    <x v="3"/>
    <x v="89"/>
    <x v="0"/>
    <x v="77"/>
    <x v="1"/>
    <n v="3363.2999999999997"/>
    <n v="5.2739726027397262"/>
    <n v="115473.3"/>
  </r>
  <r>
    <s v="Makshi Vinutha"/>
    <s v="Female"/>
    <n v="30"/>
    <x v="0"/>
    <x v="142"/>
    <x v="2"/>
    <x v="78"/>
    <x v="0"/>
    <n v="3377.1"/>
    <n v="3.5753424657534247"/>
    <n v="115947.1"/>
  </r>
  <r>
    <s v="Halimeda Kuscha"/>
    <s v="Female"/>
    <n v="30"/>
    <x v="0"/>
    <x v="143"/>
    <x v="2"/>
    <x v="78"/>
    <x v="1"/>
    <n v="3377.1"/>
    <n v="3.408219178082192"/>
    <n v="115947.1"/>
  </r>
  <r>
    <s v="Deepali Charan"/>
    <s v="Male"/>
    <n v="20"/>
    <x v="0"/>
    <x v="144"/>
    <x v="0"/>
    <x v="79"/>
    <x v="0"/>
    <n v="3379.5"/>
    <n v="5.4328767123287669"/>
    <n v="116029.5"/>
  </r>
  <r>
    <s v="Bandhula Sathyanna"/>
    <s v="Male"/>
    <n v="34"/>
    <x v="0"/>
    <x v="145"/>
    <x v="2"/>
    <x v="79"/>
    <x v="0"/>
    <n v="3379.5"/>
    <n v="4.0082191780821921"/>
    <n v="116029.5"/>
  </r>
  <r>
    <s v="Mollie Hanway"/>
    <s v="Male"/>
    <n v="20"/>
    <x v="0"/>
    <x v="146"/>
    <x v="0"/>
    <x v="79"/>
    <x v="1"/>
    <n v="3379.5"/>
    <n v="5.2657534246575342"/>
    <n v="116029.5"/>
  </r>
  <r>
    <s v="Krishnakanta Vellanki"/>
    <s v="Male"/>
    <n v="22"/>
    <x v="2"/>
    <x v="147"/>
    <x v="1"/>
    <x v="80"/>
    <x v="0"/>
    <n v="3383.4"/>
    <n v="4.7150684931506852"/>
    <n v="116163.4"/>
  </r>
  <r>
    <s v="Lindy Guillet"/>
    <s v="Male"/>
    <n v="22"/>
    <x v="2"/>
    <x v="148"/>
    <x v="1"/>
    <x v="80"/>
    <x v="1"/>
    <n v="3383.4"/>
    <n v="4.5452054794520551"/>
    <n v="116163.4"/>
  </r>
  <r>
    <s v="Ilesh Dasgupta"/>
    <s v="Male"/>
    <n v="27"/>
    <x v="1"/>
    <x v="149"/>
    <x v="2"/>
    <x v="81"/>
    <x v="0"/>
    <n v="3398.4"/>
    <n v="4.2684931506849315"/>
    <n v="116678.39999999999"/>
  </r>
  <r>
    <s v="Mahalia Larcher"/>
    <s v="Male"/>
    <n v="27"/>
    <x v="1"/>
    <x v="150"/>
    <x v="2"/>
    <x v="81"/>
    <x v="1"/>
    <n v="3398.4"/>
    <n v="4.0986301369863014"/>
    <n v="116678.39999999999"/>
  </r>
  <r>
    <s v="Sarojini Naueshwara"/>
    <s v="Female"/>
    <n v="30"/>
    <x v="0"/>
    <x v="74"/>
    <x v="2"/>
    <x v="82"/>
    <x v="0"/>
    <n v="3425.4"/>
    <n v="3.6054794520547944"/>
    <n v="117605.4"/>
  </r>
  <r>
    <s v="Hogan Iles"/>
    <s v="Female"/>
    <n v="30"/>
    <x v="0"/>
    <x v="75"/>
    <x v="2"/>
    <x v="82"/>
    <x v="1"/>
    <n v="3425.4"/>
    <n v="3.4383561643835616"/>
    <n v="117605.4"/>
  </r>
  <r>
    <s v="Ramnath Ravuri"/>
    <s v="Female"/>
    <n v="44"/>
    <x v="0"/>
    <x v="151"/>
    <x v="0"/>
    <x v="83"/>
    <x v="0"/>
    <n v="3446.1"/>
    <n v="3.0684931506849313"/>
    <n v="118316.1"/>
  </r>
  <r>
    <s v="Wilone O'Kielt"/>
    <s v="Female"/>
    <n v="43"/>
    <x v="0"/>
    <x v="152"/>
    <x v="0"/>
    <x v="83"/>
    <x v="1"/>
    <n v="3446.1"/>
    <n v="2.904109589041096"/>
    <n v="118316.1"/>
  </r>
  <r>
    <s v="Dhruv Manjunath"/>
    <s v="Female"/>
    <n v="36"/>
    <x v="0"/>
    <x v="3"/>
    <x v="2"/>
    <x v="84"/>
    <x v="0"/>
    <n v="3446.7"/>
    <n v="5.7041095890410958"/>
    <n v="118336.7"/>
  </r>
  <r>
    <s v="Tracy Renad"/>
    <s v="Female"/>
    <n v="36"/>
    <x v="0"/>
    <x v="153"/>
    <x v="2"/>
    <x v="84"/>
    <x v="1"/>
    <n v="3446.7"/>
    <n v="5.5342465753424657"/>
    <n v="118336.7"/>
  </r>
  <r>
    <s v="Sahila Chandrasekhar"/>
    <s v="Other"/>
    <n v="37"/>
    <x v="3"/>
    <x v="153"/>
    <x v="4"/>
    <x v="85"/>
    <x v="0"/>
    <n v="3463.2"/>
    <n v="5.5342465753424657"/>
    <n v="118903.2"/>
  </r>
  <r>
    <s v="Benny Karolovsky"/>
    <s v="Other"/>
    <n v="37"/>
    <x v="3"/>
    <x v="154"/>
    <x v="4"/>
    <x v="85"/>
    <x v="1"/>
    <n v="3463.2"/>
    <n v="5.3671232876712329"/>
    <n v="118903.2"/>
  </r>
  <r>
    <s v="Sarayu Ragunathan"/>
    <s v="Male"/>
    <n v="33"/>
    <x v="0"/>
    <x v="155"/>
    <x v="2"/>
    <x v="86"/>
    <x v="0"/>
    <n v="3477.6"/>
    <n v="5.484931506849315"/>
    <n v="119397.6"/>
  </r>
  <r>
    <s v="Roddy Speechley"/>
    <s v="Male"/>
    <n v="33"/>
    <x v="0"/>
    <x v="20"/>
    <x v="2"/>
    <x v="86"/>
    <x v="1"/>
    <n v="3477.6"/>
    <n v="5.3178082191780822"/>
    <n v="119397.6"/>
  </r>
  <r>
    <s v="Kaishori Harathi Kateel"/>
    <s v="Female"/>
    <n v="37"/>
    <x v="0"/>
    <x v="69"/>
    <x v="3"/>
    <x v="87"/>
    <x v="0"/>
    <n v="3543"/>
    <n v="4.7013698630136984"/>
    <n v="121643"/>
  </r>
  <r>
    <s v="Valentia Etteridge"/>
    <s v="Female"/>
    <n v="37"/>
    <x v="0"/>
    <x v="156"/>
    <x v="3"/>
    <x v="87"/>
    <x v="1"/>
    <n v="3543"/>
    <n v="4.5315068493150683"/>
    <n v="121643"/>
  </r>
  <r>
    <s v="Heer Pennathur"/>
    <s v="Male"/>
    <n v="36"/>
    <x v="0"/>
    <x v="157"/>
    <x v="0"/>
    <x v="88"/>
    <x v="0"/>
    <n v="3565.2"/>
    <n v="5.882191780821918"/>
    <n v="122405.2"/>
  </r>
  <r>
    <s v="Tawnya Tickel"/>
    <s v="Male"/>
    <n v="36"/>
    <x v="0"/>
    <x v="158"/>
    <x v="0"/>
    <x v="88"/>
    <x v="1"/>
    <n v="3565.2"/>
    <n v="5.7150684931506852"/>
    <n v="122405.2"/>
  </r>
  <r>
    <s v="Anjushri Chandiramani"/>
    <s v="Female"/>
    <n v="27"/>
    <x v="0"/>
    <x v="159"/>
    <x v="3"/>
    <x v="89"/>
    <x v="0"/>
    <n v="3573.2999999999997"/>
    <n v="5.6"/>
    <n v="122683.3"/>
  </r>
  <r>
    <s v="Ewart Laphorn"/>
    <s v="Female"/>
    <n v="27"/>
    <x v="0"/>
    <x v="144"/>
    <x v="3"/>
    <x v="89"/>
    <x v="1"/>
    <n v="3573.2999999999997"/>
    <n v="5.4328767123287669"/>
    <n v="12268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BE333F-7846-4AF6-8176-89165B313D5D}" name="PivotTable5" cacheId="9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K13" firstHeaderRow="1" firstDataRow="2" firstDataCol="1"/>
  <pivotFields count="9">
    <pivotField axis="axisCol" allDrilled="1" subtotalTop="0" showAll="0" dataSourceSort="1" defaultSubtotal="0" defaultAttributeDrillState="1">
      <items count="2">
        <item s="1" x="0"/>
        <item s="1" x="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7">
    <i>
      <x/>
    </i>
    <i i="1">
      <x v="1"/>
    </i>
    <i i="2">
      <x v="2"/>
    </i>
    <i i="3">
      <x v="3"/>
    </i>
    <i i="4">
      <x v="4"/>
    </i>
    <i i="5">
      <x v="5"/>
    </i>
    <i i="6">
      <x v="6"/>
    </i>
  </rowItems>
  <colFields count="1">
    <field x="0"/>
  </colFields>
  <colItems count="3">
    <i>
      <x/>
    </i>
    <i>
      <x v="1"/>
    </i>
    <i t="grand">
      <x/>
    </i>
  </colItems>
  <dataFields count="7">
    <dataField name="Count of Name" fld="1" subtotal="count" baseField="0" baseItem="0"/>
    <dataField name="Average of Age" fld="2" subtotal="average" baseField="0" baseItem="0"/>
    <dataField name="Average of Salary" fld="3" subtotal="average" baseField="0" baseItem="0"/>
    <dataField name="Average of Tenure" fld="4" subtotal="average" baseField="0" baseItem="0"/>
    <dataField name="StdDev of Age" fld="5" subtotal="stdDev" baseField="0" baseItem="0"/>
    <dataField name="StdDev of Salary" fld="6" subtotal="stdDev" baseField="0" baseItem="0"/>
    <dataField name="StdDev of Tenure" fld="7" subtotal="stdDev" baseField="0" baseItem="0"/>
  </dataFields>
  <pivotHierarchies count="25">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aff].[Country].&amp;[Ind]"/>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Age"/>
    <pivotHierarchy dragToData="1"/>
    <pivotHierarchy dragToData="1" caption="Average of Salary"/>
    <pivotHierarchy dragToData="1"/>
    <pivotHierarchy dragToData="1" caption="Average of Tenure"/>
    <pivotHierarchy dragToData="1" caption="StdDev of Age"/>
    <pivotHierarchy dragToData="1" caption="StdDev of Salary"/>
    <pivotHierarchy dragToData="1" caption="StdDev of Tenure"/>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ank-data-file.xlsx!Staff">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92ED8D-2485-479E-B40E-0CF64029DA1F}"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J4:K41" firstHeaderRow="1" firstDataRow="1" firstDataCol="1"/>
  <pivotFields count="14">
    <pivotField dataField="1" showAll="0"/>
    <pivotField showAll="0"/>
    <pivotField showAll="0"/>
    <pivotField showAll="0"/>
    <pivotField numFmtId="14" showAll="0">
      <items count="161">
        <item x="157"/>
        <item x="2"/>
        <item x="22"/>
        <item x="62"/>
        <item x="158"/>
        <item x="3"/>
        <item x="23"/>
        <item x="6"/>
        <item x="159"/>
        <item x="63"/>
        <item x="42"/>
        <item x="12"/>
        <item x="153"/>
        <item x="58"/>
        <item x="155"/>
        <item x="7"/>
        <item x="141"/>
        <item x="144"/>
        <item x="91"/>
        <item x="120"/>
        <item x="43"/>
        <item x="118"/>
        <item x="13"/>
        <item x="154"/>
        <item x="59"/>
        <item x="20"/>
        <item x="115"/>
        <item x="89"/>
        <item x="53"/>
        <item x="146"/>
        <item x="92"/>
        <item x="121"/>
        <item x="124"/>
        <item x="119"/>
        <item x="111"/>
        <item x="72"/>
        <item x="51"/>
        <item x="21"/>
        <item x="116"/>
        <item x="90"/>
        <item x="54"/>
        <item x="85"/>
        <item x="66"/>
        <item x="125"/>
        <item x="44"/>
        <item x="112"/>
        <item x="79"/>
        <item x="73"/>
        <item x="108"/>
        <item x="52"/>
        <item x="16"/>
        <item x="34"/>
        <item x="86"/>
        <item x="87"/>
        <item x="137"/>
        <item x="67"/>
        <item x="131"/>
        <item x="64"/>
        <item x="81"/>
        <item x="68"/>
        <item x="45"/>
        <item x="80"/>
        <item x="109"/>
        <item x="110"/>
        <item x="18"/>
        <item x="37"/>
        <item x="17"/>
        <item x="35"/>
        <item x="88"/>
        <item x="32"/>
        <item x="138"/>
        <item x="135"/>
        <item x="132"/>
        <item x="65"/>
        <item x="147"/>
        <item x="82"/>
        <item x="93"/>
        <item x="69"/>
        <item x="104"/>
        <item x="19"/>
        <item x="36"/>
        <item x="39"/>
        <item x="133"/>
        <item x="96"/>
        <item x="33"/>
        <item x="136"/>
        <item x="117"/>
        <item x="148"/>
        <item x="40"/>
        <item x="26"/>
        <item x="156"/>
        <item x="105"/>
        <item x="38"/>
        <item x="94"/>
        <item x="70"/>
        <item x="134"/>
        <item x="97"/>
        <item x="28"/>
        <item x="41"/>
        <item x="27"/>
        <item x="95"/>
        <item x="60"/>
        <item x="71"/>
        <item x="122"/>
        <item x="149"/>
        <item x="10"/>
        <item x="55"/>
        <item x="4"/>
        <item x="29"/>
        <item x="126"/>
        <item x="129"/>
        <item x="49"/>
        <item x="61"/>
        <item x="47"/>
        <item x="123"/>
        <item x="57"/>
        <item x="150"/>
        <item x="11"/>
        <item x="56"/>
        <item x="0"/>
        <item x="5"/>
        <item x="102"/>
        <item x="127"/>
        <item x="100"/>
        <item x="24"/>
        <item x="145"/>
        <item x="130"/>
        <item x="50"/>
        <item x="30"/>
        <item x="48"/>
        <item x="139"/>
        <item x="8"/>
        <item x="76"/>
        <item x="1"/>
        <item x="98"/>
        <item x="103"/>
        <item x="101"/>
        <item x="78"/>
        <item x="25"/>
        <item x="113"/>
        <item x="83"/>
        <item x="31"/>
        <item x="128"/>
        <item x="140"/>
        <item x="9"/>
        <item x="77"/>
        <item x="99"/>
        <item x="106"/>
        <item x="14"/>
        <item x="46"/>
        <item x="114"/>
        <item x="84"/>
        <item x="74"/>
        <item x="142"/>
        <item x="107"/>
        <item x="15"/>
        <item x="75"/>
        <item x="143"/>
        <item x="151"/>
        <item x="152"/>
        <item t="default"/>
      </items>
    </pivotField>
    <pivotField showAll="0"/>
    <pivotField numFmtId="16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numFmtId="164" showAll="0"/>
    <pivotField numFmtId="2" showAll="0"/>
    <pivotField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x="1"/>
        <item x="2"/>
        <item x="3"/>
        <item x="4"/>
        <item sd="0" x="5"/>
        <item t="default"/>
      </items>
    </pivotField>
  </pivotFields>
  <rowFields count="2">
    <field x="13"/>
    <field x="11"/>
  </rowFields>
  <rowItems count="37">
    <i>
      <x v="1"/>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x v="4"/>
    </i>
    <i r="1">
      <x v="2"/>
    </i>
    <i r="1">
      <x v="4"/>
    </i>
    <i t="grand">
      <x/>
    </i>
  </rowItems>
  <colItems count="1">
    <i/>
  </colItems>
  <dataFields count="1">
    <dataField name="Count of Name" fld="0" subtotal="count" showDataAs="runTotal" baseField="11" baseItem="0"/>
  </dataField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36027C-6DAE-49EC-B139-7DF8292E74E6}"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epartment" colHeaderCaption="Ratings">
  <location ref="B6:H13" firstHeaderRow="1" firstDataRow="2" firstDataCol="1"/>
  <pivotFields count="14">
    <pivotField dataField="1" showAll="0"/>
    <pivotField showAll="0"/>
    <pivotField showAll="0"/>
    <pivotField axis="axisCol" showAll="0">
      <items count="6">
        <item x="4"/>
        <item x="2"/>
        <item x="0"/>
        <item x="3"/>
        <item x="1"/>
        <item t="default"/>
      </items>
    </pivotField>
    <pivotField numFmtId="14" showAll="0">
      <items count="161">
        <item x="157"/>
        <item x="2"/>
        <item x="22"/>
        <item x="62"/>
        <item x="158"/>
        <item x="3"/>
        <item x="23"/>
        <item x="6"/>
        <item x="159"/>
        <item x="63"/>
        <item x="42"/>
        <item x="12"/>
        <item x="153"/>
        <item x="58"/>
        <item x="155"/>
        <item x="7"/>
        <item x="141"/>
        <item x="144"/>
        <item x="91"/>
        <item x="120"/>
        <item x="43"/>
        <item x="118"/>
        <item x="13"/>
        <item x="154"/>
        <item x="59"/>
        <item x="20"/>
        <item x="115"/>
        <item x="89"/>
        <item x="53"/>
        <item x="146"/>
        <item x="92"/>
        <item x="121"/>
        <item x="124"/>
        <item x="119"/>
        <item x="111"/>
        <item x="72"/>
        <item x="51"/>
        <item x="21"/>
        <item x="116"/>
        <item x="90"/>
        <item x="54"/>
        <item x="85"/>
        <item x="66"/>
        <item x="125"/>
        <item x="44"/>
        <item x="112"/>
        <item x="79"/>
        <item x="73"/>
        <item x="108"/>
        <item x="52"/>
        <item x="16"/>
        <item x="34"/>
        <item x="86"/>
        <item x="87"/>
        <item x="137"/>
        <item x="67"/>
        <item x="131"/>
        <item x="64"/>
        <item x="81"/>
        <item x="68"/>
        <item x="45"/>
        <item x="80"/>
        <item x="109"/>
        <item x="110"/>
        <item x="18"/>
        <item x="37"/>
        <item x="17"/>
        <item x="35"/>
        <item x="88"/>
        <item x="32"/>
        <item x="138"/>
        <item x="135"/>
        <item x="132"/>
        <item x="65"/>
        <item x="147"/>
        <item x="82"/>
        <item x="93"/>
        <item x="69"/>
        <item x="104"/>
        <item x="19"/>
        <item x="36"/>
        <item x="39"/>
        <item x="133"/>
        <item x="96"/>
        <item x="33"/>
        <item x="136"/>
        <item x="117"/>
        <item x="148"/>
        <item x="40"/>
        <item x="26"/>
        <item x="156"/>
        <item x="105"/>
        <item x="38"/>
        <item x="94"/>
        <item x="70"/>
        <item x="134"/>
        <item x="97"/>
        <item x="28"/>
        <item x="41"/>
        <item x="27"/>
        <item x="95"/>
        <item x="60"/>
        <item x="71"/>
        <item x="122"/>
        <item x="149"/>
        <item x="10"/>
        <item x="55"/>
        <item x="4"/>
        <item x="29"/>
        <item x="126"/>
        <item x="129"/>
        <item x="49"/>
        <item x="61"/>
        <item x="47"/>
        <item x="123"/>
        <item x="57"/>
        <item x="150"/>
        <item x="11"/>
        <item x="56"/>
        <item x="0"/>
        <item x="5"/>
        <item x="102"/>
        <item x="127"/>
        <item x="100"/>
        <item x="24"/>
        <item x="145"/>
        <item x="130"/>
        <item x="50"/>
        <item x="30"/>
        <item x="48"/>
        <item x="139"/>
        <item x="8"/>
        <item x="76"/>
        <item x="1"/>
        <item x="98"/>
        <item x="103"/>
        <item x="101"/>
        <item x="78"/>
        <item x="25"/>
        <item x="113"/>
        <item x="83"/>
        <item x="31"/>
        <item x="128"/>
        <item x="140"/>
        <item x="9"/>
        <item x="77"/>
        <item x="99"/>
        <item x="106"/>
        <item x="14"/>
        <item x="46"/>
        <item x="114"/>
        <item x="84"/>
        <item x="74"/>
        <item x="142"/>
        <item x="107"/>
        <item x="15"/>
        <item x="75"/>
        <item x="143"/>
        <item x="151"/>
        <item x="152"/>
        <item t="default"/>
      </items>
    </pivotField>
    <pivotField axis="axisRow" showAll="0">
      <items count="6">
        <item x="4"/>
        <item x="3"/>
        <item x="2"/>
        <item x="1"/>
        <item x="0"/>
        <item t="default"/>
      </items>
    </pivotField>
    <pivotField numFmtId="164" showAll="0"/>
    <pivotField showAll="0">
      <items count="3">
        <item x="0"/>
        <item x="1"/>
        <item t="default"/>
      </items>
    </pivotField>
    <pivotField numFmtId="164" showAll="0"/>
    <pivotField numFmtId="2"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6">
    <i>
      <x/>
    </i>
    <i>
      <x v="1"/>
    </i>
    <i>
      <x v="2"/>
    </i>
    <i>
      <x v="3"/>
    </i>
    <i>
      <x v="4"/>
    </i>
    <i t="grand">
      <x/>
    </i>
  </rowItems>
  <colFields count="1">
    <field x="3"/>
  </colFields>
  <colItems count="6">
    <i>
      <x/>
    </i>
    <i>
      <x v="1"/>
    </i>
    <i>
      <x v="2"/>
    </i>
    <i>
      <x v="3"/>
    </i>
    <i>
      <x v="4"/>
    </i>
    <i t="grand">
      <x/>
    </i>
  </colItems>
  <dataFields count="1">
    <dataField name="Count of Employee" fld="0" subtotal="count" baseField="0" baseItem="0"/>
  </dataFields>
  <chartFormats count="5">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0"/>
          </reference>
          <reference field="3" count="1" selected="0">
            <x v="1"/>
          </reference>
        </references>
      </pivotArea>
    </chartFormat>
    <chartFormat chart="8" format="2" series="1">
      <pivotArea type="data" outline="0" fieldPosition="0">
        <references count="2">
          <reference field="4294967294" count="1" selected="0">
            <x v="0"/>
          </reference>
          <reference field="3" count="1" selected="0">
            <x v="2"/>
          </reference>
        </references>
      </pivotArea>
    </chartFormat>
    <chartFormat chart="8" format="3" series="1">
      <pivotArea type="data" outline="0" fieldPosition="0">
        <references count="2">
          <reference field="4294967294" count="1" selected="0">
            <x v="0"/>
          </reference>
          <reference field="3" count="1" selected="0">
            <x v="3"/>
          </reference>
        </references>
      </pivotArea>
    </chartFormat>
    <chartFormat chart="8" format="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42234F-FB4B-48A7-8896-FD10DD98FEEC}" name="PivotTable8" cacheId="1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4:G20" firstHeaderRow="0" firstDataRow="1" firstDataCol="1" rowPageCount="1" colPageCount="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pageFields count="1">
    <pageField fld="3" hier="7" name="[Staff].[Country].&amp;[Ind]" cap="Ind"/>
  </pageFields>
  <dataFields count="2">
    <dataField name="Max of Tenure" fld="1" subtotal="max" baseField="0" baseItem="0"/>
    <dataField name="Min of Tenure" fld="2" subtotal="min" baseField="0" baseItem="0"/>
  </dataFields>
  <pivotHierarchies count="25">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aff].[Country].&amp;[Ind]"/>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Tenure"/>
    <pivotHierarchy dragToData="1" caption="Min of Tenure"/>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63417E-4FBD-4180-8092-3FDBBE416F83}" name="PivotTable6" cacheId="1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4:C20" firstHeaderRow="0" firstDataRow="1" firstDataCol="1" rowPageCount="1" colPageCount="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pageFields count="1">
    <pageField fld="3" hier="7" name="[Staff].[Country].&amp;[Nz]" cap="Nz"/>
  </pageFields>
  <dataFields count="2">
    <dataField name="Max of Tenure" fld="1" subtotal="max" baseField="0" baseItem="0"/>
    <dataField name="Min of Tenure" fld="2" subtotal="min" baseField="0" baseItem="0"/>
  </dataFields>
  <pivotHierarchies count="25">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aff].[Country].&amp;[Nz]"/>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Tenure"/>
    <pivotHierarchy dragToData="1" caption="Min of Tenure"/>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8E231E-AA3E-47E1-BFCE-2C73D070B608}" name="PivotTable5"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3:E9" firstHeaderRow="1" firstDataRow="1" firstDataCol="1" rowPageCount="1" colPageCount="1"/>
  <pivotFields count="3">
    <pivotField axis="axisPage" allDrilled="1" subtotalTop="0" showAll="0" dataSourceSort="1" defaultSubtotal="0" defaultAttributeDrillState="1"/>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6">
    <i>
      <x v="4"/>
    </i>
    <i>
      <x v="2"/>
    </i>
    <i>
      <x/>
    </i>
    <i>
      <x v="3"/>
    </i>
    <i>
      <x v="1"/>
    </i>
    <i t="grand">
      <x/>
    </i>
  </rowItems>
  <colItems count="1">
    <i/>
  </colItems>
  <pageFields count="1">
    <pageField fld="0" hier="7" name="[Staff].[Country].&amp;[Nz]" cap="Nz"/>
  </pageFields>
  <dataFields count="1">
    <dataField name="Count of Name" fld="2" subtotal="count" baseField="0" baseItem="0"/>
  </dataFields>
  <chartFormats count="3">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aff].[Country].&amp;[Nz]"/>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FA0C49-D874-49E2-A3F2-ADE51DA34EA8}" name="PivotTable4" cacheId="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9" firstHeaderRow="1" firstDataRow="1" firstDataCol="1" rowPageCount="1" colPageCount="1"/>
  <pivotFields count="3">
    <pivotField axis="axisPage" allDrilled="1" subtotalTop="0" showAll="0" dataSourceSort="1" defaultSubtotal="0" defaultAttributeDrillState="1">
      <items count="1">
        <item x="0"/>
      </items>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6">
    <i>
      <x v="2"/>
    </i>
    <i>
      <x v="4"/>
    </i>
    <i>
      <x/>
    </i>
    <i>
      <x v="3"/>
    </i>
    <i>
      <x v="1"/>
    </i>
    <i t="grand">
      <x/>
    </i>
  </rowItems>
  <colItems count="1">
    <i/>
  </colItems>
  <pageFields count="1">
    <pageField fld="0" hier="7" name="[Staff].[Country].&amp;[Ind]" cap="Ind"/>
  </pageFields>
  <dataFields count="1">
    <dataField name="Count of Name" fld="2" subtotal="count" baseField="0" baseItem="0"/>
  </dataFields>
  <chartFormats count="3">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1" count="1" selected="0">
            <x v="1"/>
          </reference>
        </references>
      </pivotArea>
    </chartFormat>
    <chartFormat chart="25" format="3"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aff].[Country].&amp;[Ind]"/>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FE4E9EE6-9C8C-47DE-8F8B-3CA101B6616C}" autoFormatId="16" applyNumberFormats="0" applyBorderFormats="0" applyFontFormats="0" applyPatternFormats="0" applyAlignmentFormats="0" applyWidthHeightFormats="0">
  <queryTableRefresh nextId="18" unboundColumnsRight="3">
    <queryTableFields count="11">
      <queryTableField id="1" name="Name" tableColumnId="1"/>
      <queryTableField id="2" name="Gender" tableColumnId="2"/>
      <queryTableField id="3" name="Age" tableColumnId="3"/>
      <queryTableField id="4" name="Rating" tableColumnId="4"/>
      <queryTableField id="5" name="Date Joined.1" tableColumnId="5"/>
      <queryTableField id="6" name="Department" tableColumnId="6"/>
      <queryTableField id="7" name="Salary" tableColumnId="7"/>
      <queryTableField id="8" name="Country" tableColumnId="8"/>
      <queryTableField id="15" dataBound="0" tableColumnId="17"/>
      <queryTableField id="12" dataBound="0" tableColumnId="14"/>
      <queryTableField id="17"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E6CE0BD-3286-4344-AC9C-9D8573F34983}" sourceName="[Staff].[Country]">
  <pivotTables>
    <pivotTable tabId="5" name="PivotTable5"/>
  </pivotTables>
  <data>
    <olap pivotCacheId="2092767116">
      <levels count="2">
        <level uniqueName="[Staff].[Country].[(All)]" sourceCaption="(All)" count="0"/>
        <level uniqueName="[Staff].[Country].[Country]" sourceCaption="Country" count="2">
          <ranges>
            <range startItem="0">
              <i n="[Staff].[Country].&amp;[Ind]" c="Ind"/>
              <i n="[Staff].[Country].&amp;[Nz]" c="Nz"/>
            </range>
          </ranges>
        </level>
      </levels>
      <selections count="1">
        <selection n="[Staff].[Country].&amp;[Ind]"/>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A13AD9F2-DA9C-4F2F-A8B0-01A2241DCF2A}" sourceName="Country">
  <pivotTables>
    <pivotTable tabId="7" name="PivotTable1"/>
  </pivotTables>
  <data>
    <tabular pivotCacheId="134019566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CE35083A-CAF2-4D60-94B0-3A31121BA6E7}" cache="Slicer_Country" caption="Count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97AD056C-81C4-437A-A7C0-1A9C6F9961F4}" cache="Slicer_Country1" caption="Country"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4F70C7-C066-4BDA-B917-B82DCB0DFC0B}" name="Nz_data" displayName="Nz_data" ref="C3:I103">
  <autoFilter ref="C3:I103" xr:uid="{CB4F70C7-C066-4BDA-B917-B82DCB0DFC0B}"/>
  <tableColumns count="7">
    <tableColumn id="1" xr3:uid="{7DA7B66B-1F00-4DC2-96D7-3C33763D7B69}" name="Name"/>
    <tableColumn id="2" xr3:uid="{22FCADCF-6DFE-4A09-AA94-90678AB31F48}" name="Gender"/>
    <tableColumn id="3" xr3:uid="{0F8F1134-DBED-4AE9-B4E5-98E65930062C}" name="Department"/>
    <tableColumn id="4" xr3:uid="{935608F1-D3E5-4505-AA4D-4A7DE8A11F7D}" name="Age"/>
    <tableColumn id="5" xr3:uid="{02FB2F3C-074F-4FF0-AD75-504248C3EA9B}" name="Date Joined"/>
    <tableColumn id="6" xr3:uid="{70E156D4-C8F9-4C79-B2D5-836A0F39161A}" name="Salary" dataDxfId="20"/>
    <tableColumn id="7" xr3:uid="{9E54F664-74AD-45C6-8756-DE095C013FDA}"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E36B22-2B57-4780-A291-547E0DB706F1}" name="Ind_data" displayName="Ind_data" ref="B2:H114" totalsRowShown="0">
  <autoFilter ref="B2:H114" xr:uid="{37E36B22-2B57-4780-A291-547E0DB706F1}"/>
  <tableColumns count="7">
    <tableColumn id="1" xr3:uid="{A5543851-313F-4C08-A3AB-9AA4ACA2595C}" name="Name"/>
    <tableColumn id="2" xr3:uid="{21EAFCE7-9F80-4977-ADAE-7ED84298E905}" name="Gender"/>
    <tableColumn id="3" xr3:uid="{B6A003B8-E905-48B4-B8CB-931B38C905CF}" name="Age"/>
    <tableColumn id="4" xr3:uid="{26C7E673-A9A5-4DF4-9678-A5027A9DF68D}" name="Rating"/>
    <tableColumn id="5" xr3:uid="{E080A995-2D27-481C-94A3-3274584F4257}" name="Date Joined" dataDxfId="19"/>
    <tableColumn id="6" xr3:uid="{772EC76D-112C-43C0-9C4F-74712FFAE010}" name="Department"/>
    <tableColumn id="7" xr3:uid="{48F1E2A4-26F5-43A2-9A7F-B4800D551E30}" name="Salary" dataDxfId="18"/>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5F8EE57-E95E-4A72-B883-687FAA5CA388}" name="Staff" displayName="Staff" ref="A1:K184" tableType="queryTable" totalsRowShown="0">
  <autoFilter ref="A1:K184" xr:uid="{E5F8EE57-E95E-4A72-B883-687FAA5CA388}"/>
  <sortState xmlns:xlrd2="http://schemas.microsoft.com/office/spreadsheetml/2017/richdata2" ref="A2:K184">
    <sortCondition ref="G1:G184"/>
  </sortState>
  <tableColumns count="11">
    <tableColumn id="1" xr3:uid="{47DF2010-664A-4F55-B468-13423A005A6F}" uniqueName="1" name="Name" queryTableFieldId="1" dataDxfId="17"/>
    <tableColumn id="2" xr3:uid="{F1C285B9-B8F1-42E2-B2C5-B534D5FA2BD8}" uniqueName="2" name="Gender" queryTableFieldId="2" dataDxfId="16"/>
    <tableColumn id="3" xr3:uid="{DE51B613-38FE-4CD9-9DF9-18CDFBC4CD20}" uniqueName="3" name="Age" queryTableFieldId="3" dataDxfId="15"/>
    <tableColumn id="4" xr3:uid="{25F158BE-661A-4EB9-862F-F02E63C76E7D}" uniqueName="4" name="Rating" queryTableFieldId="4" dataDxfId="14"/>
    <tableColumn id="5" xr3:uid="{2A376C82-8006-4588-8311-ACD2A0353259}" uniqueName="5" name="Date Joined" queryTableFieldId="5" dataDxfId="13"/>
    <tableColumn id="6" xr3:uid="{B85B0EB6-4113-419D-A658-0DB8398A33E3}" uniqueName="6" name="Department" queryTableFieldId="6" dataDxfId="4"/>
    <tableColumn id="7" xr3:uid="{1A7DAA3A-5B18-49DC-AEDA-37D6C8C8C174}" uniqueName="7" name="Salary" queryTableFieldId="7" dataDxfId="2" dataCellStyle="Currency"/>
    <tableColumn id="8" xr3:uid="{BEB45C91-4B6A-44CC-B913-A22BED414017}" uniqueName="8" name="Country" queryTableFieldId="8" dataDxfId="3"/>
    <tableColumn id="17" xr3:uid="{C555E4A2-78F6-4284-9BCE-AE126365C2F8}" uniqueName="17" name="Bonus" queryTableFieldId="15" dataDxfId="12">
      <calculatedColumnFormula>IF(Staff[[#This Row],[Tenure]]&gt;=2,Staff[[#This Row],[Salary]]*0.03,Staff[[#This Row],[Salary]]*0.02)</calculatedColumnFormula>
    </tableColumn>
    <tableColumn id="14" xr3:uid="{6CFE07EB-C279-4250-A1E8-2815BB5123DA}" uniqueName="14" name="Tenure" queryTableFieldId="12" dataDxfId="11">
      <calculatedColumnFormula>(TODAY()-Staff[[#This Row],[Date Joined]])/365</calculatedColumnFormula>
    </tableColumn>
    <tableColumn id="19" xr3:uid="{66AB4A24-E6B3-4826-AF58-02FE72D38CF3}" uniqueName="19" name="Final Salary" queryTableFieldId="17" dataDxfId="10">
      <calculatedColumnFormula>Staff[[#This Row],[Salary]]+Staff[[#This Row],[Bonus]]</calculatedColumnFormula>
    </tableColumn>
  </tableColumns>
  <tableStyleInfo name="TableStyleMedium2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FE72835-FD0A-4006-A0C1-60BE4F1CEECF}" name="Table4" displayName="Table4" ref="N5:P12" dataDxfId="9">
  <autoFilter ref="N5:P12" xr:uid="{3FE72835-FD0A-4006-A0C1-60BE4F1CEECF}"/>
  <tableColumns count="3">
    <tableColumn id="1" xr3:uid="{1B3446FF-98BD-418C-8929-00DDFB95EB0A}" name="summary" dataDxfId="8"/>
    <tableColumn id="2" xr3:uid="{285D7992-CFC4-425B-AD6A-E2B71F010AEB}" name="values" dataDxfId="7" totalsRowDxfId="6"/>
    <tableColumn id="3" xr3:uid="{D284DA8B-5816-46B1-B55A-419E9D29768F}" name="median" dataDxfId="5"/>
  </tableColumns>
  <tableStyleInfo name="TableStyleMedium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 dockstate="right" visibility="0" width="438" row="5">
    <wetp:webextensionref xmlns:r="http://schemas.openxmlformats.org/officeDocument/2006/relationships" r:id="rId2"/>
  </wetp:taskpane>
  <wetp:taskpane dockstate="right" visibility="0" width="438" row="4">
    <wetp:webextensionref xmlns:r="http://schemas.openxmlformats.org/officeDocument/2006/relationships" r:id="rId3"/>
  </wetp:taskpane>
</wetp:taskpanes>
</file>

<file path=xl/webextensions/webextension1.xml><?xml version="1.0" encoding="utf-8"?>
<we:webextension xmlns:we="http://schemas.microsoft.com/office/webextensions/webextension/2010/11" id="{7D59778A-1402-4F37-A280-40A7E8F2DBE1}">
  <we:reference id="wa200005502" version="1.0.0.12" store="en-US" storeType="OMEX"/>
  <we:alternateReferences>
    <we:reference id="wa200005502" version="1.0.0.12" store="wa200005502" storeType="OMEX"/>
  </we:alternateReferences>
  <we:properties>
    <we:property name="docId" value="&quot;IX2Rk5M1aT6xW5iFeqTBU&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42EBF43E-7860-4D84-9E00-60DDBA13D6B3}">
  <we:reference id="wa200009404" version="1.0.0.8" store="en-US" storeType="OMEX"/>
  <we:alternateReferences>
    <we:reference id="wa200009404" version="1.0.0.8" store="wa200009404" storeType="OMEX"/>
  </we:alternateReferences>
  <we:properties/>
  <we:bindings/>
  <we:snapshot xmlns:r="http://schemas.openxmlformats.org/officeDocument/2006/relationships"/>
</we:webextension>
</file>

<file path=xl/webextensions/webextension3.xml><?xml version="1.0" encoding="utf-8"?>
<we:webextension xmlns:we="http://schemas.microsoft.com/office/webextensions/webextension/2010/11" id="{E4F3107A-74B4-4B29-9F32-188A22EF8772}">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I103"/>
  <sheetViews>
    <sheetView showGridLines="0" workbookViewId="0">
      <selection activeCell="K3" sqref="K3"/>
    </sheetView>
  </sheetViews>
  <sheetFormatPr defaultRowHeight="14.4" x14ac:dyDescent="0.3"/>
  <cols>
    <col min="1" max="1" width="1.6640625" customWidth="1"/>
    <col min="2" max="2" width="3.6640625" customWidth="1"/>
    <col min="3" max="3" width="18.5546875" customWidth="1"/>
    <col min="4" max="4" width="9.33203125" bestFit="1" customWidth="1"/>
    <col min="5" max="5" width="13.33203125" bestFit="1" customWidth="1"/>
    <col min="6" max="6" width="6.44140625" bestFit="1" customWidth="1"/>
    <col min="7" max="7" width="13" bestFit="1" customWidth="1"/>
    <col min="8" max="8" width="12.5546875" bestFit="1" customWidth="1"/>
    <col min="9" max="9" width="13.109375" bestFit="1" customWidth="1"/>
  </cols>
  <sheetData>
    <row r="1" spans="1:9" s="2" customFormat="1" ht="52.5" customHeight="1" x14ac:dyDescent="0.3">
      <c r="A1" s="1"/>
      <c r="C1" s="3" t="s">
        <v>110</v>
      </c>
    </row>
    <row r="3" spans="1:9" x14ac:dyDescent="0.3">
      <c r="C3" t="s">
        <v>0</v>
      </c>
      <c r="D3" t="s">
        <v>1</v>
      </c>
      <c r="E3" t="s">
        <v>2</v>
      </c>
      <c r="F3" t="s">
        <v>3</v>
      </c>
      <c r="G3" s="4" t="s">
        <v>4</v>
      </c>
      <c r="H3" s="6" t="s">
        <v>5</v>
      </c>
      <c r="I3" t="s">
        <v>6</v>
      </c>
    </row>
    <row r="4" spans="1:9" x14ac:dyDescent="0.3">
      <c r="C4" t="s">
        <v>58</v>
      </c>
      <c r="D4" t="s">
        <v>15</v>
      </c>
      <c r="E4" t="s">
        <v>19</v>
      </c>
      <c r="F4">
        <v>22</v>
      </c>
      <c r="G4" s="4">
        <v>44446</v>
      </c>
      <c r="H4" s="6">
        <v>112780</v>
      </c>
      <c r="I4" t="s">
        <v>13</v>
      </c>
    </row>
    <row r="5" spans="1:9" x14ac:dyDescent="0.3">
      <c r="C5" t="s">
        <v>70</v>
      </c>
      <c r="D5" t="s">
        <v>15</v>
      </c>
      <c r="E5" t="s">
        <v>9</v>
      </c>
      <c r="F5">
        <v>46</v>
      </c>
      <c r="G5" s="4">
        <v>44758</v>
      </c>
      <c r="H5" s="6">
        <v>70610</v>
      </c>
      <c r="I5" t="s">
        <v>16</v>
      </c>
    </row>
    <row r="6" spans="1:9" x14ac:dyDescent="0.3">
      <c r="C6" t="s">
        <v>75</v>
      </c>
      <c r="D6" t="s">
        <v>8</v>
      </c>
      <c r="E6" t="s">
        <v>19</v>
      </c>
      <c r="F6">
        <v>28</v>
      </c>
      <c r="G6" s="4">
        <v>44357</v>
      </c>
      <c r="H6" s="6">
        <v>53240</v>
      </c>
      <c r="I6" t="s">
        <v>16</v>
      </c>
    </row>
    <row r="7" spans="1:9" x14ac:dyDescent="0.3">
      <c r="C7" t="s">
        <v>49</v>
      </c>
      <c r="E7" t="s">
        <v>21</v>
      </c>
      <c r="F7">
        <v>37</v>
      </c>
      <c r="G7" s="4">
        <v>44146</v>
      </c>
      <c r="H7" s="6">
        <v>115440</v>
      </c>
      <c r="I7" t="s">
        <v>24</v>
      </c>
    </row>
    <row r="8" spans="1:9" x14ac:dyDescent="0.3">
      <c r="C8" t="s">
        <v>65</v>
      </c>
      <c r="D8" t="s">
        <v>15</v>
      </c>
      <c r="E8" t="s">
        <v>19</v>
      </c>
      <c r="F8">
        <v>32</v>
      </c>
      <c r="G8" s="4">
        <v>44465</v>
      </c>
      <c r="H8" s="6">
        <v>53540</v>
      </c>
      <c r="I8" t="s">
        <v>16</v>
      </c>
    </row>
    <row r="9" spans="1:9" x14ac:dyDescent="0.3">
      <c r="C9" t="s">
        <v>81</v>
      </c>
      <c r="D9" t="s">
        <v>8</v>
      </c>
      <c r="E9" t="s">
        <v>9</v>
      </c>
      <c r="F9">
        <v>30</v>
      </c>
      <c r="G9" s="4">
        <v>44861</v>
      </c>
      <c r="H9" s="6">
        <v>112570</v>
      </c>
      <c r="I9" t="s">
        <v>16</v>
      </c>
    </row>
    <row r="10" spans="1:9" x14ac:dyDescent="0.3">
      <c r="C10" t="s">
        <v>51</v>
      </c>
      <c r="D10" t="s">
        <v>15</v>
      </c>
      <c r="E10" t="s">
        <v>9</v>
      </c>
      <c r="F10">
        <v>33</v>
      </c>
      <c r="G10" s="4">
        <v>44701</v>
      </c>
      <c r="H10" s="6">
        <v>48530</v>
      </c>
      <c r="I10" t="s">
        <v>13</v>
      </c>
    </row>
    <row r="11" spans="1:9" x14ac:dyDescent="0.3">
      <c r="C11" t="s">
        <v>61</v>
      </c>
      <c r="D11" t="s">
        <v>8</v>
      </c>
      <c r="E11" t="s">
        <v>12</v>
      </c>
      <c r="F11">
        <v>24</v>
      </c>
      <c r="G11" s="4">
        <v>44148</v>
      </c>
      <c r="H11" s="6">
        <v>62780</v>
      </c>
      <c r="I11" t="s">
        <v>16</v>
      </c>
    </row>
    <row r="12" spans="1:9" x14ac:dyDescent="0.3">
      <c r="C12" t="s">
        <v>82</v>
      </c>
      <c r="D12" t="s">
        <v>15</v>
      </c>
      <c r="E12" t="s">
        <v>12</v>
      </c>
      <c r="F12">
        <v>33</v>
      </c>
      <c r="G12" s="4">
        <v>44509</v>
      </c>
      <c r="H12" s="6">
        <v>53870</v>
      </c>
      <c r="I12" t="s">
        <v>16</v>
      </c>
    </row>
    <row r="13" spans="1:9" x14ac:dyDescent="0.3">
      <c r="C13" t="s">
        <v>60</v>
      </c>
      <c r="D13" t="s">
        <v>8</v>
      </c>
      <c r="E13" t="s">
        <v>56</v>
      </c>
      <c r="F13">
        <v>27</v>
      </c>
      <c r="G13" s="4">
        <v>44122</v>
      </c>
      <c r="H13" s="6">
        <v>119110</v>
      </c>
      <c r="I13" t="s">
        <v>16</v>
      </c>
    </row>
    <row r="14" spans="1:9" x14ac:dyDescent="0.3">
      <c r="C14" t="s">
        <v>87</v>
      </c>
      <c r="D14" t="s">
        <v>15</v>
      </c>
      <c r="E14" t="s">
        <v>12</v>
      </c>
      <c r="F14">
        <v>29</v>
      </c>
      <c r="G14" s="4">
        <v>44180</v>
      </c>
      <c r="H14" s="6">
        <v>112110</v>
      </c>
      <c r="I14" t="s">
        <v>24</v>
      </c>
    </row>
    <row r="15" spans="1:9" x14ac:dyDescent="0.3">
      <c r="C15" t="s">
        <v>76</v>
      </c>
      <c r="D15" t="s">
        <v>15</v>
      </c>
      <c r="E15" t="s">
        <v>19</v>
      </c>
      <c r="F15">
        <v>25</v>
      </c>
      <c r="G15" s="4">
        <v>44383</v>
      </c>
      <c r="H15" s="6">
        <v>65700</v>
      </c>
      <c r="I15" t="s">
        <v>16</v>
      </c>
    </row>
    <row r="16" spans="1:9" x14ac:dyDescent="0.3">
      <c r="C16" t="s">
        <v>97</v>
      </c>
      <c r="D16" t="s">
        <v>15</v>
      </c>
      <c r="E16" t="s">
        <v>12</v>
      </c>
      <c r="F16">
        <v>37</v>
      </c>
      <c r="G16" s="4">
        <v>44701</v>
      </c>
      <c r="H16" s="6">
        <v>69070</v>
      </c>
      <c r="I16" t="s">
        <v>16</v>
      </c>
    </row>
    <row r="17" spans="3:9" x14ac:dyDescent="0.3">
      <c r="C17" t="s">
        <v>22</v>
      </c>
      <c r="D17" t="s">
        <v>15</v>
      </c>
      <c r="E17" t="s">
        <v>12</v>
      </c>
      <c r="F17">
        <v>20</v>
      </c>
      <c r="G17" s="4">
        <v>44459</v>
      </c>
      <c r="H17" s="6">
        <v>107700</v>
      </c>
      <c r="I17" t="s">
        <v>16</v>
      </c>
    </row>
    <row r="18" spans="3:9" x14ac:dyDescent="0.3">
      <c r="C18" t="s">
        <v>84</v>
      </c>
      <c r="D18" t="s">
        <v>8</v>
      </c>
      <c r="E18" t="s">
        <v>12</v>
      </c>
      <c r="F18">
        <v>32</v>
      </c>
      <c r="G18" s="4">
        <v>44354</v>
      </c>
      <c r="H18" s="6">
        <v>43840</v>
      </c>
      <c r="I18" t="s">
        <v>13</v>
      </c>
    </row>
    <row r="19" spans="3:9" x14ac:dyDescent="0.3">
      <c r="C19" t="s">
        <v>105</v>
      </c>
      <c r="D19" t="s">
        <v>15</v>
      </c>
      <c r="E19" t="s">
        <v>9</v>
      </c>
      <c r="F19">
        <v>40</v>
      </c>
      <c r="G19" s="4">
        <v>44263</v>
      </c>
      <c r="H19" s="6">
        <v>99750</v>
      </c>
      <c r="I19" t="s">
        <v>16</v>
      </c>
    </row>
    <row r="20" spans="3:9" x14ac:dyDescent="0.3">
      <c r="C20" t="s">
        <v>47</v>
      </c>
      <c r="D20" t="s">
        <v>15</v>
      </c>
      <c r="E20" t="s">
        <v>9</v>
      </c>
      <c r="F20">
        <v>21</v>
      </c>
      <c r="G20" s="4">
        <v>44104</v>
      </c>
      <c r="H20" s="6">
        <v>37920</v>
      </c>
      <c r="I20" t="s">
        <v>16</v>
      </c>
    </row>
    <row r="21" spans="3:9" x14ac:dyDescent="0.3">
      <c r="C21" t="s">
        <v>31</v>
      </c>
      <c r="D21" t="s">
        <v>15</v>
      </c>
      <c r="E21" t="s">
        <v>9</v>
      </c>
      <c r="F21">
        <v>21</v>
      </c>
      <c r="G21" s="4">
        <v>44762</v>
      </c>
      <c r="H21" s="6">
        <v>57090</v>
      </c>
      <c r="I21" t="s">
        <v>16</v>
      </c>
    </row>
    <row r="22" spans="3:9" x14ac:dyDescent="0.3">
      <c r="C22" t="s">
        <v>30</v>
      </c>
      <c r="D22" t="s">
        <v>8</v>
      </c>
      <c r="E22" t="s">
        <v>12</v>
      </c>
      <c r="F22">
        <v>31</v>
      </c>
      <c r="G22" s="4">
        <v>44145</v>
      </c>
      <c r="H22" s="6">
        <v>41980</v>
      </c>
      <c r="I22" t="s">
        <v>16</v>
      </c>
    </row>
    <row r="23" spans="3:9" x14ac:dyDescent="0.3">
      <c r="C23" t="s">
        <v>78</v>
      </c>
      <c r="D23" t="s">
        <v>15</v>
      </c>
      <c r="E23" t="s">
        <v>56</v>
      </c>
      <c r="F23">
        <v>21</v>
      </c>
      <c r="G23" s="4">
        <v>44242</v>
      </c>
      <c r="H23" s="6">
        <v>75880</v>
      </c>
      <c r="I23" t="s">
        <v>16</v>
      </c>
    </row>
    <row r="24" spans="3:9" x14ac:dyDescent="0.3">
      <c r="C24" t="s">
        <v>36</v>
      </c>
      <c r="D24" t="s">
        <v>8</v>
      </c>
      <c r="E24" t="s">
        <v>21</v>
      </c>
      <c r="F24">
        <v>34</v>
      </c>
      <c r="G24" s="4">
        <v>44653</v>
      </c>
      <c r="H24" s="6">
        <v>58940</v>
      </c>
      <c r="I24" t="s">
        <v>16</v>
      </c>
    </row>
    <row r="25" spans="3:9" x14ac:dyDescent="0.3">
      <c r="C25" t="s">
        <v>27</v>
      </c>
      <c r="D25" t="s">
        <v>8</v>
      </c>
      <c r="E25" t="s">
        <v>21</v>
      </c>
      <c r="F25">
        <v>30</v>
      </c>
      <c r="G25" s="4">
        <v>44389</v>
      </c>
      <c r="H25" s="6">
        <v>67910</v>
      </c>
      <c r="I25" t="s">
        <v>24</v>
      </c>
    </row>
    <row r="26" spans="3:9" x14ac:dyDescent="0.3">
      <c r="C26" t="s">
        <v>26</v>
      </c>
      <c r="D26" t="s">
        <v>8</v>
      </c>
      <c r="E26" t="s">
        <v>12</v>
      </c>
      <c r="F26">
        <v>31</v>
      </c>
      <c r="G26" s="4">
        <v>44663</v>
      </c>
      <c r="H26" s="6">
        <v>58100</v>
      </c>
      <c r="I26" t="s">
        <v>16</v>
      </c>
    </row>
    <row r="27" spans="3:9" x14ac:dyDescent="0.3">
      <c r="C27" t="s">
        <v>53</v>
      </c>
      <c r="D27" t="s">
        <v>15</v>
      </c>
      <c r="E27" t="s">
        <v>21</v>
      </c>
      <c r="F27">
        <v>27</v>
      </c>
      <c r="G27" s="4">
        <v>44567</v>
      </c>
      <c r="H27" s="6">
        <v>48980</v>
      </c>
      <c r="I27" t="s">
        <v>16</v>
      </c>
    </row>
    <row r="28" spans="3:9" x14ac:dyDescent="0.3">
      <c r="C28" t="s">
        <v>20</v>
      </c>
      <c r="E28" t="s">
        <v>21</v>
      </c>
      <c r="F28">
        <v>30</v>
      </c>
      <c r="G28" s="4">
        <v>44597</v>
      </c>
      <c r="H28" s="6">
        <v>64000</v>
      </c>
      <c r="I28" t="s">
        <v>16</v>
      </c>
    </row>
    <row r="29" spans="3:9" x14ac:dyDescent="0.3">
      <c r="C29" t="s">
        <v>7</v>
      </c>
      <c r="D29" t="s">
        <v>8</v>
      </c>
      <c r="E29" t="s">
        <v>9</v>
      </c>
      <c r="F29">
        <v>42</v>
      </c>
      <c r="G29" s="4">
        <v>44779</v>
      </c>
      <c r="H29" s="6">
        <v>75000</v>
      </c>
      <c r="I29" t="s">
        <v>10</v>
      </c>
    </row>
    <row r="30" spans="3:9" x14ac:dyDescent="0.3">
      <c r="C30" t="s">
        <v>74</v>
      </c>
      <c r="D30" t="s">
        <v>8</v>
      </c>
      <c r="E30" t="s">
        <v>12</v>
      </c>
      <c r="F30">
        <v>40</v>
      </c>
      <c r="G30" s="4">
        <v>44337</v>
      </c>
      <c r="H30" s="6">
        <v>87620</v>
      </c>
      <c r="I30" t="s">
        <v>16</v>
      </c>
    </row>
    <row r="31" spans="3:9" x14ac:dyDescent="0.3">
      <c r="C31" t="s">
        <v>44</v>
      </c>
      <c r="D31" t="s">
        <v>8</v>
      </c>
      <c r="E31" t="s">
        <v>12</v>
      </c>
      <c r="F31">
        <v>29</v>
      </c>
      <c r="G31" s="4">
        <v>44023</v>
      </c>
      <c r="H31" s="6">
        <v>34980</v>
      </c>
      <c r="I31" t="s">
        <v>16</v>
      </c>
    </row>
    <row r="32" spans="3:9" x14ac:dyDescent="0.3">
      <c r="C32" t="s">
        <v>35</v>
      </c>
      <c r="D32" t="s">
        <v>8</v>
      </c>
      <c r="E32" t="s">
        <v>21</v>
      </c>
      <c r="F32">
        <v>28</v>
      </c>
      <c r="G32" s="4">
        <v>44185</v>
      </c>
      <c r="H32" s="6">
        <v>75970</v>
      </c>
      <c r="I32" t="s">
        <v>16</v>
      </c>
    </row>
    <row r="33" spans="3:9" x14ac:dyDescent="0.3">
      <c r="C33" t="s">
        <v>38</v>
      </c>
      <c r="D33" t="s">
        <v>8</v>
      </c>
      <c r="E33" t="s">
        <v>21</v>
      </c>
      <c r="F33">
        <v>34</v>
      </c>
      <c r="G33" s="4">
        <v>44612</v>
      </c>
      <c r="H33" s="6">
        <v>60130</v>
      </c>
      <c r="I33" t="s">
        <v>16</v>
      </c>
    </row>
    <row r="34" spans="3:9" x14ac:dyDescent="0.3">
      <c r="C34" t="s">
        <v>41</v>
      </c>
      <c r="D34" t="s">
        <v>8</v>
      </c>
      <c r="E34" t="s">
        <v>12</v>
      </c>
      <c r="F34">
        <v>33</v>
      </c>
      <c r="G34" s="4">
        <v>44374</v>
      </c>
      <c r="H34" s="6">
        <v>75480</v>
      </c>
      <c r="I34" t="s">
        <v>42</v>
      </c>
    </row>
    <row r="35" spans="3:9" x14ac:dyDescent="0.3">
      <c r="C35" t="s">
        <v>40</v>
      </c>
      <c r="D35" t="s">
        <v>15</v>
      </c>
      <c r="E35" t="s">
        <v>9</v>
      </c>
      <c r="F35">
        <v>33</v>
      </c>
      <c r="G35" s="4">
        <v>44164</v>
      </c>
      <c r="H35" s="6">
        <v>115920</v>
      </c>
      <c r="I35" t="s">
        <v>16</v>
      </c>
    </row>
    <row r="36" spans="3:9" x14ac:dyDescent="0.3">
      <c r="C36" t="s">
        <v>48</v>
      </c>
      <c r="D36" t="s">
        <v>8</v>
      </c>
      <c r="E36" t="s">
        <v>19</v>
      </c>
      <c r="F36">
        <v>36</v>
      </c>
      <c r="G36" s="4">
        <v>44494</v>
      </c>
      <c r="H36" s="6">
        <v>78540</v>
      </c>
      <c r="I36" t="s">
        <v>16</v>
      </c>
    </row>
    <row r="37" spans="3:9" x14ac:dyDescent="0.3">
      <c r="C37" t="s">
        <v>34</v>
      </c>
      <c r="D37" t="s">
        <v>15</v>
      </c>
      <c r="E37" t="s">
        <v>9</v>
      </c>
      <c r="F37">
        <v>25</v>
      </c>
      <c r="G37" s="4">
        <v>44726</v>
      </c>
      <c r="H37" s="6">
        <v>109190</v>
      </c>
      <c r="I37" t="s">
        <v>13</v>
      </c>
    </row>
    <row r="38" spans="3:9" x14ac:dyDescent="0.3">
      <c r="C38" t="s">
        <v>73</v>
      </c>
      <c r="D38" t="s">
        <v>8</v>
      </c>
      <c r="E38" t="s">
        <v>19</v>
      </c>
      <c r="F38">
        <v>34</v>
      </c>
      <c r="G38" s="4">
        <v>44721</v>
      </c>
      <c r="H38" s="6">
        <v>49630</v>
      </c>
      <c r="I38" t="s">
        <v>24</v>
      </c>
    </row>
    <row r="39" spans="3:9" x14ac:dyDescent="0.3">
      <c r="C39" t="s">
        <v>107</v>
      </c>
      <c r="D39" t="s">
        <v>8</v>
      </c>
      <c r="E39" t="s">
        <v>9</v>
      </c>
      <c r="F39">
        <v>28</v>
      </c>
      <c r="G39" s="4">
        <v>44630</v>
      </c>
      <c r="H39" s="6">
        <v>99970</v>
      </c>
      <c r="I39" t="s">
        <v>16</v>
      </c>
    </row>
    <row r="40" spans="3:9" x14ac:dyDescent="0.3">
      <c r="C40" t="s">
        <v>71</v>
      </c>
      <c r="D40" t="s">
        <v>8</v>
      </c>
      <c r="E40" t="s">
        <v>12</v>
      </c>
      <c r="F40">
        <v>33</v>
      </c>
      <c r="G40" s="4">
        <v>44190</v>
      </c>
      <c r="H40" s="6">
        <v>96140</v>
      </c>
      <c r="I40" t="s">
        <v>16</v>
      </c>
    </row>
    <row r="41" spans="3:9" x14ac:dyDescent="0.3">
      <c r="C41" t="s">
        <v>50</v>
      </c>
      <c r="D41" t="s">
        <v>15</v>
      </c>
      <c r="E41" t="s">
        <v>9</v>
      </c>
      <c r="F41">
        <v>31</v>
      </c>
      <c r="G41" s="4">
        <v>44724</v>
      </c>
      <c r="H41" s="6">
        <v>103550</v>
      </c>
      <c r="I41" t="s">
        <v>16</v>
      </c>
    </row>
    <row r="42" spans="3:9" x14ac:dyDescent="0.3">
      <c r="C42" t="s">
        <v>14</v>
      </c>
      <c r="D42" t="s">
        <v>15</v>
      </c>
      <c r="E42" t="s">
        <v>12</v>
      </c>
      <c r="F42">
        <v>31</v>
      </c>
      <c r="G42" s="4">
        <v>44511</v>
      </c>
      <c r="H42" s="6">
        <v>48950</v>
      </c>
      <c r="I42" t="s">
        <v>16</v>
      </c>
    </row>
    <row r="43" spans="3:9" x14ac:dyDescent="0.3">
      <c r="C43" t="s">
        <v>63</v>
      </c>
      <c r="D43" t="s">
        <v>15</v>
      </c>
      <c r="E43" t="s">
        <v>21</v>
      </c>
      <c r="F43">
        <v>24</v>
      </c>
      <c r="G43" s="4">
        <v>44436</v>
      </c>
      <c r="H43" s="6">
        <v>52610</v>
      </c>
      <c r="I43" t="s">
        <v>24</v>
      </c>
    </row>
    <row r="44" spans="3:9" x14ac:dyDescent="0.3">
      <c r="C44" t="s">
        <v>72</v>
      </c>
      <c r="D44" t="s">
        <v>8</v>
      </c>
      <c r="E44" t="s">
        <v>9</v>
      </c>
      <c r="F44">
        <v>36</v>
      </c>
      <c r="G44" s="4">
        <v>44529</v>
      </c>
      <c r="H44" s="6">
        <v>78390</v>
      </c>
      <c r="I44" t="s">
        <v>16</v>
      </c>
    </row>
    <row r="45" spans="3:9" x14ac:dyDescent="0.3">
      <c r="C45" t="s">
        <v>88</v>
      </c>
      <c r="D45" t="s">
        <v>8</v>
      </c>
      <c r="E45" t="s">
        <v>21</v>
      </c>
      <c r="F45">
        <v>33</v>
      </c>
      <c r="G45" s="4">
        <v>44809</v>
      </c>
      <c r="H45" s="6">
        <v>86570</v>
      </c>
      <c r="I45" t="s">
        <v>16</v>
      </c>
    </row>
    <row r="46" spans="3:9" x14ac:dyDescent="0.3">
      <c r="C46" t="s">
        <v>92</v>
      </c>
      <c r="D46" t="s">
        <v>8</v>
      </c>
      <c r="E46" t="s">
        <v>12</v>
      </c>
      <c r="F46">
        <v>27</v>
      </c>
      <c r="G46" s="4">
        <v>44686</v>
      </c>
      <c r="H46" s="6">
        <v>83750</v>
      </c>
      <c r="I46" t="s">
        <v>16</v>
      </c>
    </row>
    <row r="47" spans="3:9" x14ac:dyDescent="0.3">
      <c r="C47" t="s">
        <v>102</v>
      </c>
      <c r="D47" t="s">
        <v>8</v>
      </c>
      <c r="E47" t="s">
        <v>21</v>
      </c>
      <c r="F47">
        <v>34</v>
      </c>
      <c r="G47" s="4">
        <v>44445</v>
      </c>
      <c r="H47" s="6">
        <v>92450</v>
      </c>
      <c r="I47" t="s">
        <v>16</v>
      </c>
    </row>
    <row r="48" spans="3:9" x14ac:dyDescent="0.3">
      <c r="C48" t="s">
        <v>64</v>
      </c>
      <c r="D48" t="s">
        <v>15</v>
      </c>
      <c r="E48" t="s">
        <v>12</v>
      </c>
      <c r="F48">
        <v>20</v>
      </c>
      <c r="G48" s="4">
        <v>44183</v>
      </c>
      <c r="H48" s="6">
        <v>112650</v>
      </c>
      <c r="I48" t="s">
        <v>16</v>
      </c>
    </row>
    <row r="49" spans="3:9" x14ac:dyDescent="0.3">
      <c r="C49" t="s">
        <v>104</v>
      </c>
      <c r="D49" t="s">
        <v>15</v>
      </c>
      <c r="E49" t="s">
        <v>9</v>
      </c>
      <c r="F49">
        <v>20</v>
      </c>
      <c r="G49" s="4">
        <v>44744</v>
      </c>
      <c r="H49" s="6">
        <v>79570</v>
      </c>
      <c r="I49" t="s">
        <v>16</v>
      </c>
    </row>
    <row r="50" spans="3:9" x14ac:dyDescent="0.3">
      <c r="C50" t="s">
        <v>91</v>
      </c>
      <c r="D50" t="s">
        <v>8</v>
      </c>
      <c r="E50" t="s">
        <v>19</v>
      </c>
      <c r="F50">
        <v>20</v>
      </c>
      <c r="G50" s="4">
        <v>44537</v>
      </c>
      <c r="H50" s="6">
        <v>68900</v>
      </c>
      <c r="I50" t="s">
        <v>24</v>
      </c>
    </row>
    <row r="51" spans="3:9" x14ac:dyDescent="0.3">
      <c r="C51" t="s">
        <v>39</v>
      </c>
      <c r="D51" t="s">
        <v>8</v>
      </c>
      <c r="E51" t="s">
        <v>12</v>
      </c>
      <c r="F51">
        <v>25</v>
      </c>
      <c r="G51" s="4">
        <v>44694</v>
      </c>
      <c r="H51" s="6">
        <v>80700</v>
      </c>
      <c r="I51" t="s">
        <v>13</v>
      </c>
    </row>
    <row r="52" spans="3:9" x14ac:dyDescent="0.3">
      <c r="C52" t="s">
        <v>100</v>
      </c>
      <c r="D52" t="s">
        <v>15</v>
      </c>
      <c r="E52" t="s">
        <v>9</v>
      </c>
      <c r="F52">
        <v>19</v>
      </c>
      <c r="G52" s="4">
        <v>44277</v>
      </c>
      <c r="H52" s="6">
        <v>58960</v>
      </c>
      <c r="I52" t="s">
        <v>16</v>
      </c>
    </row>
    <row r="53" spans="3:9" x14ac:dyDescent="0.3">
      <c r="C53" t="s">
        <v>106</v>
      </c>
      <c r="D53" t="s">
        <v>15</v>
      </c>
      <c r="E53" t="s">
        <v>12</v>
      </c>
      <c r="F53">
        <v>36</v>
      </c>
      <c r="G53" s="4">
        <v>44019</v>
      </c>
      <c r="H53" s="6">
        <v>118840</v>
      </c>
      <c r="I53" t="s">
        <v>16</v>
      </c>
    </row>
    <row r="54" spans="3:9" x14ac:dyDescent="0.3">
      <c r="C54" t="s">
        <v>29</v>
      </c>
      <c r="D54" t="s">
        <v>15</v>
      </c>
      <c r="E54" t="s">
        <v>21</v>
      </c>
      <c r="F54">
        <v>28</v>
      </c>
      <c r="G54" s="4">
        <v>44041</v>
      </c>
      <c r="H54" s="6">
        <v>48170</v>
      </c>
      <c r="I54" t="s">
        <v>13</v>
      </c>
    </row>
    <row r="55" spans="3:9" x14ac:dyDescent="0.3">
      <c r="C55" t="s">
        <v>108</v>
      </c>
      <c r="D55" t="s">
        <v>8</v>
      </c>
      <c r="E55" t="s">
        <v>56</v>
      </c>
      <c r="F55">
        <v>32</v>
      </c>
      <c r="G55" s="4">
        <v>44400</v>
      </c>
      <c r="H55" s="6">
        <v>45510</v>
      </c>
      <c r="I55" t="s">
        <v>16</v>
      </c>
    </row>
    <row r="56" spans="3:9" x14ac:dyDescent="0.3">
      <c r="C56" t="s">
        <v>64</v>
      </c>
      <c r="D56" t="s">
        <v>15</v>
      </c>
      <c r="E56" t="s">
        <v>9</v>
      </c>
      <c r="F56">
        <v>34</v>
      </c>
      <c r="G56" s="4">
        <v>44703</v>
      </c>
      <c r="H56" s="6">
        <v>112650</v>
      </c>
      <c r="I56" t="s">
        <v>16</v>
      </c>
    </row>
    <row r="57" spans="3:9" x14ac:dyDescent="0.3">
      <c r="C57" t="s">
        <v>83</v>
      </c>
      <c r="D57" t="s">
        <v>8</v>
      </c>
      <c r="E57" t="s">
        <v>9</v>
      </c>
      <c r="F57">
        <v>36</v>
      </c>
      <c r="G57" s="4">
        <v>44085</v>
      </c>
      <c r="H57" s="6">
        <v>114890</v>
      </c>
      <c r="I57" t="s">
        <v>16</v>
      </c>
    </row>
    <row r="58" spans="3:9" x14ac:dyDescent="0.3">
      <c r="C58" t="s">
        <v>67</v>
      </c>
      <c r="D58" t="s">
        <v>15</v>
      </c>
      <c r="E58" t="s">
        <v>12</v>
      </c>
      <c r="F58">
        <v>30</v>
      </c>
      <c r="G58" s="4">
        <v>44850</v>
      </c>
      <c r="H58" s="6">
        <v>69710</v>
      </c>
      <c r="I58" t="s">
        <v>16</v>
      </c>
    </row>
    <row r="59" spans="3:9" x14ac:dyDescent="0.3">
      <c r="C59" t="s">
        <v>94</v>
      </c>
      <c r="D59" t="s">
        <v>15</v>
      </c>
      <c r="E59" t="s">
        <v>21</v>
      </c>
      <c r="F59">
        <v>36</v>
      </c>
      <c r="G59" s="4">
        <v>44333</v>
      </c>
      <c r="H59" s="6">
        <v>71380</v>
      </c>
      <c r="I59" t="s">
        <v>16</v>
      </c>
    </row>
    <row r="60" spans="3:9" x14ac:dyDescent="0.3">
      <c r="C60" t="s">
        <v>33</v>
      </c>
      <c r="D60" t="s">
        <v>8</v>
      </c>
      <c r="E60" t="s">
        <v>19</v>
      </c>
      <c r="F60">
        <v>38</v>
      </c>
      <c r="G60" s="4">
        <v>44377</v>
      </c>
      <c r="H60" s="6">
        <v>109160</v>
      </c>
      <c r="I60" t="s">
        <v>10</v>
      </c>
    </row>
    <row r="61" spans="3:9" x14ac:dyDescent="0.3">
      <c r="C61" t="s">
        <v>98</v>
      </c>
      <c r="D61" t="s">
        <v>15</v>
      </c>
      <c r="E61" t="s">
        <v>9</v>
      </c>
      <c r="F61">
        <v>27</v>
      </c>
      <c r="G61" s="4">
        <v>44609</v>
      </c>
      <c r="H61" s="6">
        <v>113280</v>
      </c>
      <c r="I61" t="s">
        <v>42</v>
      </c>
    </row>
    <row r="62" spans="3:9" x14ac:dyDescent="0.3">
      <c r="C62" t="s">
        <v>25</v>
      </c>
      <c r="D62" t="s">
        <v>15</v>
      </c>
      <c r="E62" t="s">
        <v>12</v>
      </c>
      <c r="F62">
        <v>30</v>
      </c>
      <c r="G62" s="4">
        <v>44273</v>
      </c>
      <c r="H62" s="6">
        <v>69120</v>
      </c>
      <c r="I62" t="s">
        <v>16</v>
      </c>
    </row>
    <row r="63" spans="3:9" x14ac:dyDescent="0.3">
      <c r="C63" t="s">
        <v>55</v>
      </c>
      <c r="D63" t="s">
        <v>8</v>
      </c>
      <c r="E63" t="s">
        <v>56</v>
      </c>
      <c r="F63">
        <v>37</v>
      </c>
      <c r="G63" s="4">
        <v>44451</v>
      </c>
      <c r="H63" s="6">
        <v>118100</v>
      </c>
      <c r="I63" t="s">
        <v>16</v>
      </c>
    </row>
    <row r="64" spans="3:9" x14ac:dyDescent="0.3">
      <c r="C64" t="s">
        <v>62</v>
      </c>
      <c r="D64" t="s">
        <v>8</v>
      </c>
      <c r="E64" t="s">
        <v>9</v>
      </c>
      <c r="F64">
        <v>22</v>
      </c>
      <c r="G64" s="4">
        <v>44450</v>
      </c>
      <c r="H64" s="6">
        <v>76900</v>
      </c>
      <c r="I64" t="s">
        <v>13</v>
      </c>
    </row>
    <row r="65" spans="3:9" x14ac:dyDescent="0.3">
      <c r="C65" t="s">
        <v>17</v>
      </c>
      <c r="D65" t="s">
        <v>8</v>
      </c>
      <c r="E65" t="s">
        <v>12</v>
      </c>
      <c r="F65">
        <v>43</v>
      </c>
      <c r="G65" s="4">
        <v>45045</v>
      </c>
      <c r="H65" s="6">
        <v>114870</v>
      </c>
      <c r="I65" t="s">
        <v>16</v>
      </c>
    </row>
    <row r="66" spans="3:9" x14ac:dyDescent="0.3">
      <c r="C66" t="s">
        <v>52</v>
      </c>
      <c r="E66" t="s">
        <v>12</v>
      </c>
      <c r="F66">
        <v>32</v>
      </c>
      <c r="G66" s="4">
        <v>44774</v>
      </c>
      <c r="H66" s="6">
        <v>91310</v>
      </c>
      <c r="I66" t="s">
        <v>16</v>
      </c>
    </row>
    <row r="67" spans="3:9" x14ac:dyDescent="0.3">
      <c r="C67" t="s">
        <v>43</v>
      </c>
      <c r="D67" t="s">
        <v>8</v>
      </c>
      <c r="E67" t="s">
        <v>9</v>
      </c>
      <c r="F67">
        <v>28</v>
      </c>
      <c r="G67" s="4">
        <v>44486</v>
      </c>
      <c r="H67" s="6">
        <v>104770</v>
      </c>
      <c r="I67" t="s">
        <v>16</v>
      </c>
    </row>
    <row r="68" spans="3:9" x14ac:dyDescent="0.3">
      <c r="C68" t="s">
        <v>89</v>
      </c>
      <c r="D68" t="s">
        <v>15</v>
      </c>
      <c r="E68" t="s">
        <v>19</v>
      </c>
      <c r="F68">
        <v>27</v>
      </c>
      <c r="G68" s="4">
        <v>44134</v>
      </c>
      <c r="H68" s="6">
        <v>54970</v>
      </c>
      <c r="I68" t="s">
        <v>16</v>
      </c>
    </row>
    <row r="69" spans="3:9" x14ac:dyDescent="0.3">
      <c r="C69" t="s">
        <v>11</v>
      </c>
      <c r="E69" t="s">
        <v>12</v>
      </c>
      <c r="F69">
        <v>26</v>
      </c>
      <c r="G69" s="4">
        <v>44271</v>
      </c>
      <c r="H69" s="6">
        <v>90700</v>
      </c>
      <c r="I69" t="s">
        <v>13</v>
      </c>
    </row>
    <row r="70" spans="3:9" x14ac:dyDescent="0.3">
      <c r="C70" t="s">
        <v>109</v>
      </c>
      <c r="D70" t="s">
        <v>8</v>
      </c>
      <c r="E70" t="s">
        <v>19</v>
      </c>
      <c r="F70">
        <v>38</v>
      </c>
      <c r="G70" s="4">
        <v>44329</v>
      </c>
      <c r="H70" s="6">
        <v>56870</v>
      </c>
      <c r="I70" t="s">
        <v>13</v>
      </c>
    </row>
    <row r="71" spans="3:9" x14ac:dyDescent="0.3">
      <c r="C71" t="s">
        <v>77</v>
      </c>
      <c r="D71" t="s">
        <v>8</v>
      </c>
      <c r="E71" t="s">
        <v>19</v>
      </c>
      <c r="F71">
        <v>25</v>
      </c>
      <c r="G71" s="4">
        <v>44205</v>
      </c>
      <c r="H71" s="6">
        <v>92700</v>
      </c>
      <c r="I71" t="s">
        <v>16</v>
      </c>
    </row>
    <row r="72" spans="3:9" x14ac:dyDescent="0.3">
      <c r="C72" t="s">
        <v>32</v>
      </c>
      <c r="D72" t="s">
        <v>8</v>
      </c>
      <c r="E72" t="s">
        <v>21</v>
      </c>
      <c r="F72">
        <v>21</v>
      </c>
      <c r="G72" s="4">
        <v>44317</v>
      </c>
      <c r="H72" s="6">
        <v>65920</v>
      </c>
      <c r="I72" t="s">
        <v>16</v>
      </c>
    </row>
    <row r="73" spans="3:9" x14ac:dyDescent="0.3">
      <c r="C73" t="s">
        <v>59</v>
      </c>
      <c r="D73" t="s">
        <v>15</v>
      </c>
      <c r="E73" t="s">
        <v>9</v>
      </c>
      <c r="F73">
        <v>26</v>
      </c>
      <c r="G73" s="4">
        <v>44225</v>
      </c>
      <c r="H73" s="6">
        <v>47360</v>
      </c>
      <c r="I73" t="s">
        <v>16</v>
      </c>
    </row>
    <row r="74" spans="3:9" x14ac:dyDescent="0.3">
      <c r="C74" t="s">
        <v>37</v>
      </c>
      <c r="D74" t="s">
        <v>15</v>
      </c>
      <c r="E74" t="s">
        <v>9</v>
      </c>
      <c r="F74">
        <v>30</v>
      </c>
      <c r="G74" s="4">
        <v>44666</v>
      </c>
      <c r="H74" s="6">
        <v>60570</v>
      </c>
      <c r="I74" t="s">
        <v>16</v>
      </c>
    </row>
    <row r="75" spans="3:9" x14ac:dyDescent="0.3">
      <c r="C75" t="s">
        <v>96</v>
      </c>
      <c r="D75" t="s">
        <v>8</v>
      </c>
      <c r="E75" t="s">
        <v>9</v>
      </c>
      <c r="F75">
        <v>28</v>
      </c>
      <c r="G75" s="4">
        <v>44649</v>
      </c>
      <c r="H75" s="6">
        <v>104120</v>
      </c>
      <c r="I75" t="s">
        <v>16</v>
      </c>
    </row>
    <row r="76" spans="3:9" x14ac:dyDescent="0.3">
      <c r="C76" t="s">
        <v>23</v>
      </c>
      <c r="D76" t="s">
        <v>15</v>
      </c>
      <c r="E76" t="s">
        <v>12</v>
      </c>
      <c r="F76">
        <v>37</v>
      </c>
      <c r="G76" s="4">
        <v>44338</v>
      </c>
      <c r="H76" s="6">
        <v>88050</v>
      </c>
      <c r="I76" t="s">
        <v>24</v>
      </c>
    </row>
    <row r="77" spans="3:9" x14ac:dyDescent="0.3">
      <c r="C77" t="s">
        <v>103</v>
      </c>
      <c r="D77" t="s">
        <v>15</v>
      </c>
      <c r="E77" t="s">
        <v>12</v>
      </c>
      <c r="F77">
        <v>24</v>
      </c>
      <c r="G77" s="4">
        <v>44686</v>
      </c>
      <c r="H77" s="6">
        <v>100420</v>
      </c>
      <c r="I77" t="s">
        <v>16</v>
      </c>
    </row>
    <row r="78" spans="3:9" x14ac:dyDescent="0.3">
      <c r="C78" t="s">
        <v>54</v>
      </c>
      <c r="D78" t="s">
        <v>8</v>
      </c>
      <c r="E78" t="s">
        <v>9</v>
      </c>
      <c r="F78">
        <v>30</v>
      </c>
      <c r="G78" s="4">
        <v>44850</v>
      </c>
      <c r="H78" s="6">
        <v>114180</v>
      </c>
      <c r="I78" t="s">
        <v>16</v>
      </c>
    </row>
    <row r="79" spans="3:9" x14ac:dyDescent="0.3">
      <c r="C79" t="s">
        <v>86</v>
      </c>
      <c r="D79" t="s">
        <v>8</v>
      </c>
      <c r="E79" t="s">
        <v>12</v>
      </c>
      <c r="F79">
        <v>21</v>
      </c>
      <c r="G79" s="4">
        <v>44678</v>
      </c>
      <c r="H79" s="6">
        <v>33920</v>
      </c>
      <c r="I79" t="s">
        <v>16</v>
      </c>
    </row>
    <row r="80" spans="3:9" x14ac:dyDescent="0.3">
      <c r="C80" t="s">
        <v>69</v>
      </c>
      <c r="D80" t="s">
        <v>15</v>
      </c>
      <c r="E80" t="s">
        <v>9</v>
      </c>
      <c r="F80">
        <v>23</v>
      </c>
      <c r="G80" s="4">
        <v>44440</v>
      </c>
      <c r="H80" s="6">
        <v>106460</v>
      </c>
      <c r="I80" t="s">
        <v>16</v>
      </c>
    </row>
    <row r="81" spans="3:9" x14ac:dyDescent="0.3">
      <c r="C81" t="s">
        <v>57</v>
      </c>
      <c r="D81" t="s">
        <v>15</v>
      </c>
      <c r="E81" t="s">
        <v>9</v>
      </c>
      <c r="F81">
        <v>35</v>
      </c>
      <c r="G81" s="4">
        <v>44727</v>
      </c>
      <c r="H81" s="6">
        <v>40400</v>
      </c>
      <c r="I81" t="s">
        <v>16</v>
      </c>
    </row>
    <row r="82" spans="3:9" x14ac:dyDescent="0.3">
      <c r="C82" t="s">
        <v>68</v>
      </c>
      <c r="D82" t="s">
        <v>15</v>
      </c>
      <c r="E82" t="s">
        <v>21</v>
      </c>
      <c r="F82">
        <v>27</v>
      </c>
      <c r="G82" s="4">
        <v>44236</v>
      </c>
      <c r="H82" s="6">
        <v>91650</v>
      </c>
      <c r="I82" t="s">
        <v>13</v>
      </c>
    </row>
    <row r="83" spans="3:9" x14ac:dyDescent="0.3">
      <c r="C83" t="s">
        <v>99</v>
      </c>
      <c r="D83" t="s">
        <v>15</v>
      </c>
      <c r="E83" t="s">
        <v>19</v>
      </c>
      <c r="F83">
        <v>43</v>
      </c>
      <c r="G83" s="4">
        <v>44620</v>
      </c>
      <c r="H83" s="6">
        <v>36040</v>
      </c>
      <c r="I83" t="s">
        <v>16</v>
      </c>
    </row>
    <row r="84" spans="3:9" x14ac:dyDescent="0.3">
      <c r="C84" t="s">
        <v>101</v>
      </c>
      <c r="D84" t="s">
        <v>8</v>
      </c>
      <c r="E84" t="s">
        <v>12</v>
      </c>
      <c r="F84">
        <v>40</v>
      </c>
      <c r="G84" s="4">
        <v>44381</v>
      </c>
      <c r="H84" s="6">
        <v>104410</v>
      </c>
      <c r="I84" t="s">
        <v>16</v>
      </c>
    </row>
    <row r="85" spans="3:9" x14ac:dyDescent="0.3">
      <c r="C85" t="s">
        <v>85</v>
      </c>
      <c r="D85" t="s">
        <v>15</v>
      </c>
      <c r="E85" t="s">
        <v>21</v>
      </c>
      <c r="F85">
        <v>30</v>
      </c>
      <c r="G85" s="4">
        <v>44606</v>
      </c>
      <c r="H85" s="6">
        <v>96800</v>
      </c>
      <c r="I85" t="s">
        <v>16</v>
      </c>
    </row>
    <row r="86" spans="3:9" x14ac:dyDescent="0.3">
      <c r="C86" t="s">
        <v>28</v>
      </c>
      <c r="D86" t="s">
        <v>8</v>
      </c>
      <c r="E86" t="s">
        <v>21</v>
      </c>
      <c r="F86">
        <v>34</v>
      </c>
      <c r="G86" s="4">
        <v>44459</v>
      </c>
      <c r="H86" s="6">
        <v>85000</v>
      </c>
      <c r="I86" t="s">
        <v>16</v>
      </c>
    </row>
    <row r="87" spans="3:9" x14ac:dyDescent="0.3">
      <c r="C87" t="s">
        <v>80</v>
      </c>
      <c r="D87" t="s">
        <v>15</v>
      </c>
      <c r="E87" t="s">
        <v>19</v>
      </c>
      <c r="F87">
        <v>28</v>
      </c>
      <c r="G87" s="4">
        <v>44820</v>
      </c>
      <c r="H87" s="6">
        <v>43510</v>
      </c>
      <c r="I87" t="s">
        <v>42</v>
      </c>
    </row>
    <row r="88" spans="3:9" x14ac:dyDescent="0.3">
      <c r="C88" t="s">
        <v>79</v>
      </c>
      <c r="D88" t="s">
        <v>15</v>
      </c>
      <c r="E88" t="s">
        <v>21</v>
      </c>
      <c r="F88">
        <v>33</v>
      </c>
      <c r="G88" s="4">
        <v>44243</v>
      </c>
      <c r="H88" s="6">
        <v>59430</v>
      </c>
      <c r="I88" t="s">
        <v>16</v>
      </c>
    </row>
    <row r="89" spans="3:9" x14ac:dyDescent="0.3">
      <c r="C89" t="s">
        <v>93</v>
      </c>
      <c r="D89" t="s">
        <v>8</v>
      </c>
      <c r="E89" t="s">
        <v>21</v>
      </c>
      <c r="F89">
        <v>33</v>
      </c>
      <c r="G89" s="4">
        <v>44067</v>
      </c>
      <c r="H89" s="6">
        <v>65360</v>
      </c>
      <c r="I89" t="s">
        <v>16</v>
      </c>
    </row>
    <row r="90" spans="3:9" x14ac:dyDescent="0.3">
      <c r="C90" t="s">
        <v>66</v>
      </c>
      <c r="D90" t="s">
        <v>8</v>
      </c>
      <c r="E90" t="s">
        <v>9</v>
      </c>
      <c r="F90">
        <v>32</v>
      </c>
      <c r="G90" s="4">
        <v>44611</v>
      </c>
      <c r="H90" s="6">
        <v>41570</v>
      </c>
      <c r="I90" t="s">
        <v>16</v>
      </c>
    </row>
    <row r="91" spans="3:9" x14ac:dyDescent="0.3">
      <c r="C91" t="s">
        <v>95</v>
      </c>
      <c r="D91" t="s">
        <v>8</v>
      </c>
      <c r="E91" t="s">
        <v>12</v>
      </c>
      <c r="F91">
        <v>33</v>
      </c>
      <c r="G91" s="4">
        <v>44312</v>
      </c>
      <c r="H91" s="6">
        <v>75280</v>
      </c>
      <c r="I91" t="s">
        <v>16</v>
      </c>
    </row>
    <row r="92" spans="3:9" x14ac:dyDescent="0.3">
      <c r="C92" t="s">
        <v>18</v>
      </c>
      <c r="D92" t="s">
        <v>15</v>
      </c>
      <c r="E92" t="s">
        <v>19</v>
      </c>
      <c r="F92">
        <v>33</v>
      </c>
      <c r="G92" s="4">
        <v>44385</v>
      </c>
      <c r="H92" s="6">
        <v>74550</v>
      </c>
      <c r="I92" t="s">
        <v>16</v>
      </c>
    </row>
    <row r="93" spans="3:9" x14ac:dyDescent="0.3">
      <c r="C93" t="s">
        <v>45</v>
      </c>
      <c r="D93" t="s">
        <v>15</v>
      </c>
      <c r="E93" t="s">
        <v>9</v>
      </c>
      <c r="F93">
        <v>30</v>
      </c>
      <c r="G93" s="4">
        <v>44701</v>
      </c>
      <c r="H93" s="6">
        <v>67950</v>
      </c>
      <c r="I93" t="s">
        <v>16</v>
      </c>
    </row>
    <row r="94" spans="3:9" x14ac:dyDescent="0.3">
      <c r="C94" t="s">
        <v>90</v>
      </c>
      <c r="D94" t="s">
        <v>15</v>
      </c>
      <c r="E94" t="s">
        <v>21</v>
      </c>
      <c r="F94">
        <v>42</v>
      </c>
      <c r="G94" s="4">
        <v>44731</v>
      </c>
      <c r="H94" s="6">
        <v>70270</v>
      </c>
      <c r="I94" t="s">
        <v>24</v>
      </c>
    </row>
    <row r="95" spans="3:9" x14ac:dyDescent="0.3">
      <c r="C95" t="s">
        <v>46</v>
      </c>
      <c r="D95" t="s">
        <v>15</v>
      </c>
      <c r="E95" t="s">
        <v>9</v>
      </c>
      <c r="F95">
        <v>26</v>
      </c>
      <c r="G95" s="4">
        <v>44411</v>
      </c>
      <c r="H95" s="6">
        <v>53540</v>
      </c>
      <c r="I95" t="s">
        <v>16</v>
      </c>
    </row>
    <row r="96" spans="3:9" x14ac:dyDescent="0.3">
      <c r="C96" t="s">
        <v>58</v>
      </c>
      <c r="D96" t="s">
        <v>15</v>
      </c>
      <c r="E96" t="s">
        <v>19</v>
      </c>
      <c r="F96">
        <v>22</v>
      </c>
      <c r="G96" s="4">
        <v>44446</v>
      </c>
      <c r="H96" s="6">
        <v>112780</v>
      </c>
      <c r="I96" t="s">
        <v>13</v>
      </c>
    </row>
    <row r="97" spans="3:9" x14ac:dyDescent="0.3">
      <c r="C97" t="s">
        <v>70</v>
      </c>
      <c r="D97" t="s">
        <v>15</v>
      </c>
      <c r="E97" t="s">
        <v>9</v>
      </c>
      <c r="F97">
        <v>46</v>
      </c>
      <c r="G97" s="4">
        <v>44758</v>
      </c>
      <c r="H97" s="6">
        <v>70610</v>
      </c>
      <c r="I97" t="s">
        <v>16</v>
      </c>
    </row>
    <row r="98" spans="3:9" x14ac:dyDescent="0.3">
      <c r="C98" t="s">
        <v>75</v>
      </c>
      <c r="D98" t="s">
        <v>8</v>
      </c>
      <c r="E98" t="s">
        <v>19</v>
      </c>
      <c r="F98">
        <v>28</v>
      </c>
      <c r="G98" s="4">
        <v>44357</v>
      </c>
      <c r="H98" s="6">
        <v>53240</v>
      </c>
      <c r="I98" t="s">
        <v>16</v>
      </c>
    </row>
    <row r="99" spans="3:9" x14ac:dyDescent="0.3">
      <c r="C99" t="s">
        <v>49</v>
      </c>
      <c r="E99" t="s">
        <v>21</v>
      </c>
      <c r="F99">
        <v>37</v>
      </c>
      <c r="G99" s="4">
        <v>44146</v>
      </c>
      <c r="H99" s="6">
        <v>115440</v>
      </c>
      <c r="I99" t="s">
        <v>24</v>
      </c>
    </row>
    <row r="100" spans="3:9" x14ac:dyDescent="0.3">
      <c r="C100" t="s">
        <v>65</v>
      </c>
      <c r="D100" t="s">
        <v>15</v>
      </c>
      <c r="E100" t="s">
        <v>19</v>
      </c>
      <c r="F100">
        <v>32</v>
      </c>
      <c r="G100" s="4">
        <v>44465</v>
      </c>
      <c r="H100" s="6">
        <v>53540</v>
      </c>
      <c r="I100" t="s">
        <v>16</v>
      </c>
    </row>
    <row r="101" spans="3:9" x14ac:dyDescent="0.3">
      <c r="C101" t="s">
        <v>81</v>
      </c>
      <c r="D101" t="s">
        <v>8</v>
      </c>
      <c r="E101" t="s">
        <v>9</v>
      </c>
      <c r="F101">
        <v>30</v>
      </c>
      <c r="G101" s="4">
        <v>44861</v>
      </c>
      <c r="H101" s="6">
        <v>112570</v>
      </c>
      <c r="I101" t="s">
        <v>16</v>
      </c>
    </row>
    <row r="102" spans="3:9" x14ac:dyDescent="0.3">
      <c r="C102" t="s">
        <v>51</v>
      </c>
      <c r="D102" t="s">
        <v>15</v>
      </c>
      <c r="E102" t="s">
        <v>9</v>
      </c>
      <c r="F102">
        <v>33</v>
      </c>
      <c r="G102" s="4">
        <v>44701</v>
      </c>
      <c r="H102" s="6">
        <v>48530</v>
      </c>
      <c r="I102" t="s">
        <v>13</v>
      </c>
    </row>
    <row r="103" spans="3:9" x14ac:dyDescent="0.3">
      <c r="C103" t="s">
        <v>61</v>
      </c>
      <c r="D103" t="s">
        <v>8</v>
      </c>
      <c r="E103" t="s">
        <v>12</v>
      </c>
      <c r="F103">
        <v>24</v>
      </c>
      <c r="G103" s="4">
        <v>44148</v>
      </c>
      <c r="H103" s="6">
        <v>62780</v>
      </c>
      <c r="I103" t="s">
        <v>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72EC4-DDE2-4CB7-AC70-5AB590F93835}">
  <dimension ref="B2:H114"/>
  <sheetViews>
    <sheetView workbookViewId="0">
      <selection activeCell="C14" sqref="C14"/>
    </sheetView>
  </sheetViews>
  <sheetFormatPr defaultRowHeight="14.4" x14ac:dyDescent="0.3"/>
  <cols>
    <col min="2" max="2" width="27.21875" bestFit="1" customWidth="1"/>
    <col min="3" max="3" width="9.33203125" bestFit="1" customWidth="1"/>
    <col min="4" max="4" width="6.44140625" bestFit="1" customWidth="1"/>
    <col min="5" max="5" width="13.109375" bestFit="1" customWidth="1"/>
    <col min="6" max="6" width="13" bestFit="1" customWidth="1"/>
    <col min="7" max="7" width="13.33203125" bestFit="1" customWidth="1"/>
    <col min="8" max="8" width="11.88671875" bestFit="1" customWidth="1"/>
  </cols>
  <sheetData>
    <row r="2" spans="2:8" x14ac:dyDescent="0.3">
      <c r="B2" t="s">
        <v>0</v>
      </c>
      <c r="C2" t="s">
        <v>1</v>
      </c>
      <c r="D2" t="s">
        <v>3</v>
      </c>
      <c r="E2" t="s">
        <v>6</v>
      </c>
      <c r="F2" t="s">
        <v>4</v>
      </c>
      <c r="G2" t="s">
        <v>2</v>
      </c>
      <c r="H2" s="5" t="s">
        <v>5</v>
      </c>
    </row>
    <row r="3" spans="2:8" x14ac:dyDescent="0.3">
      <c r="B3" t="s">
        <v>156</v>
      </c>
      <c r="C3" t="s">
        <v>15</v>
      </c>
      <c r="D3">
        <v>20</v>
      </c>
      <c r="E3" t="s">
        <v>16</v>
      </c>
      <c r="F3" s="4">
        <v>44122</v>
      </c>
      <c r="G3" t="s">
        <v>12</v>
      </c>
      <c r="H3" s="5">
        <v>112650</v>
      </c>
    </row>
    <row r="4" spans="2:8" x14ac:dyDescent="0.3">
      <c r="B4" t="s">
        <v>176</v>
      </c>
      <c r="C4" t="s">
        <v>8</v>
      </c>
      <c r="D4">
        <v>32</v>
      </c>
      <c r="E4" t="s">
        <v>13</v>
      </c>
      <c r="F4" s="4">
        <v>44293</v>
      </c>
      <c r="G4" t="s">
        <v>12</v>
      </c>
      <c r="H4" s="5">
        <v>43840</v>
      </c>
    </row>
    <row r="5" spans="2:8" x14ac:dyDescent="0.3">
      <c r="B5" t="s">
        <v>143</v>
      </c>
      <c r="C5" t="s">
        <v>15</v>
      </c>
      <c r="D5">
        <v>31</v>
      </c>
      <c r="E5" t="s">
        <v>16</v>
      </c>
      <c r="F5" s="4">
        <v>44663</v>
      </c>
      <c r="G5" t="s">
        <v>9</v>
      </c>
      <c r="H5" s="5">
        <v>103550</v>
      </c>
    </row>
    <row r="6" spans="2:8" x14ac:dyDescent="0.3">
      <c r="B6" t="s">
        <v>201</v>
      </c>
      <c r="C6" t="s">
        <v>8</v>
      </c>
      <c r="D6">
        <v>32</v>
      </c>
      <c r="E6" t="s">
        <v>16</v>
      </c>
      <c r="F6" s="4">
        <v>44339</v>
      </c>
      <c r="G6" t="s">
        <v>56</v>
      </c>
      <c r="H6" s="5">
        <v>45510</v>
      </c>
    </row>
    <row r="7" spans="2:8" x14ac:dyDescent="0.3">
      <c r="B7" t="s">
        <v>142</v>
      </c>
      <c r="D7">
        <v>37</v>
      </c>
      <c r="E7" t="s">
        <v>24</v>
      </c>
      <c r="F7" s="4">
        <v>44085</v>
      </c>
      <c r="G7" t="s">
        <v>21</v>
      </c>
      <c r="H7" s="5">
        <v>115440</v>
      </c>
    </row>
    <row r="8" spans="2:8" x14ac:dyDescent="0.3">
      <c r="B8" t="s">
        <v>202</v>
      </c>
      <c r="C8" t="s">
        <v>8</v>
      </c>
      <c r="D8">
        <v>38</v>
      </c>
      <c r="E8" t="s">
        <v>13</v>
      </c>
      <c r="F8" s="4">
        <v>44268</v>
      </c>
      <c r="G8" t="s">
        <v>19</v>
      </c>
      <c r="H8" s="5">
        <v>56870</v>
      </c>
    </row>
    <row r="9" spans="2:8" x14ac:dyDescent="0.3">
      <c r="B9" t="s">
        <v>169</v>
      </c>
      <c r="C9" t="s">
        <v>8</v>
      </c>
      <c r="D9">
        <v>25</v>
      </c>
      <c r="E9" t="s">
        <v>16</v>
      </c>
      <c r="F9" s="4">
        <v>44144</v>
      </c>
      <c r="G9" t="s">
        <v>19</v>
      </c>
      <c r="H9" s="5">
        <v>92700</v>
      </c>
    </row>
    <row r="10" spans="2:8" x14ac:dyDescent="0.3">
      <c r="B10" t="s">
        <v>145</v>
      </c>
      <c r="D10">
        <v>32</v>
      </c>
      <c r="E10" t="s">
        <v>16</v>
      </c>
      <c r="F10" s="4">
        <v>44713</v>
      </c>
      <c r="G10" t="s">
        <v>12</v>
      </c>
      <c r="H10" s="5">
        <v>91310</v>
      </c>
    </row>
    <row r="11" spans="2:8" x14ac:dyDescent="0.3">
      <c r="B11" t="s">
        <v>115</v>
      </c>
      <c r="C11" t="s">
        <v>15</v>
      </c>
      <c r="D11">
        <v>33</v>
      </c>
      <c r="E11" t="s">
        <v>16</v>
      </c>
      <c r="F11" s="4">
        <v>44324</v>
      </c>
      <c r="G11" t="s">
        <v>19</v>
      </c>
      <c r="H11" s="5">
        <v>74550</v>
      </c>
    </row>
    <row r="12" spans="2:8" x14ac:dyDescent="0.3">
      <c r="B12" t="s">
        <v>128</v>
      </c>
      <c r="C12" t="s">
        <v>15</v>
      </c>
      <c r="D12">
        <v>25</v>
      </c>
      <c r="E12" t="s">
        <v>13</v>
      </c>
      <c r="F12" s="4">
        <v>44665</v>
      </c>
      <c r="G12" t="s">
        <v>9</v>
      </c>
      <c r="H12" s="5">
        <v>109190</v>
      </c>
    </row>
    <row r="13" spans="2:8" x14ac:dyDescent="0.3">
      <c r="B13" t="s">
        <v>194</v>
      </c>
      <c r="C13" t="s">
        <v>8</v>
      </c>
      <c r="D13">
        <v>40</v>
      </c>
      <c r="E13" t="s">
        <v>16</v>
      </c>
      <c r="F13" s="4">
        <v>44320</v>
      </c>
      <c r="G13" t="s">
        <v>12</v>
      </c>
      <c r="H13" s="5">
        <v>104410</v>
      </c>
    </row>
    <row r="14" spans="2:8" x14ac:dyDescent="0.3">
      <c r="B14" t="s">
        <v>177</v>
      </c>
      <c r="C14" t="s">
        <v>15</v>
      </c>
      <c r="D14">
        <v>30</v>
      </c>
      <c r="E14" t="s">
        <v>16</v>
      </c>
      <c r="F14" s="4">
        <v>44544</v>
      </c>
      <c r="G14" t="s">
        <v>21</v>
      </c>
      <c r="H14" s="5">
        <v>96800</v>
      </c>
    </row>
    <row r="15" spans="2:8" x14ac:dyDescent="0.3">
      <c r="B15" t="s">
        <v>123</v>
      </c>
      <c r="C15" t="s">
        <v>15</v>
      </c>
      <c r="D15">
        <v>28</v>
      </c>
      <c r="E15" t="s">
        <v>13</v>
      </c>
      <c r="F15" s="4">
        <v>43980</v>
      </c>
      <c r="G15" t="s">
        <v>21</v>
      </c>
      <c r="H15" s="5">
        <v>48170</v>
      </c>
    </row>
    <row r="16" spans="2:8" x14ac:dyDescent="0.3">
      <c r="B16" t="s">
        <v>140</v>
      </c>
      <c r="C16" t="s">
        <v>15</v>
      </c>
      <c r="D16">
        <v>21</v>
      </c>
      <c r="E16" t="s">
        <v>16</v>
      </c>
      <c r="F16" s="4">
        <v>44042</v>
      </c>
      <c r="G16" t="s">
        <v>9</v>
      </c>
      <c r="H16" s="5">
        <v>37920</v>
      </c>
    </row>
    <row r="17" spans="2:8" x14ac:dyDescent="0.3">
      <c r="B17" t="s">
        <v>178</v>
      </c>
      <c r="C17" t="s">
        <v>15</v>
      </c>
      <c r="D17">
        <v>34</v>
      </c>
      <c r="E17" t="s">
        <v>16</v>
      </c>
      <c r="F17" s="4">
        <v>44642</v>
      </c>
      <c r="G17" t="s">
        <v>9</v>
      </c>
      <c r="H17" s="5">
        <v>112650</v>
      </c>
    </row>
    <row r="18" spans="2:8" x14ac:dyDescent="0.3">
      <c r="B18" t="s">
        <v>165</v>
      </c>
      <c r="C18" t="s">
        <v>8</v>
      </c>
      <c r="D18">
        <v>34</v>
      </c>
      <c r="E18" t="s">
        <v>24</v>
      </c>
      <c r="F18" s="4">
        <v>44660</v>
      </c>
      <c r="G18" t="s">
        <v>19</v>
      </c>
      <c r="H18" s="5">
        <v>49630</v>
      </c>
    </row>
    <row r="19" spans="2:8" x14ac:dyDescent="0.3">
      <c r="B19" t="s">
        <v>199</v>
      </c>
      <c r="C19" t="s">
        <v>15</v>
      </c>
      <c r="D19">
        <v>36</v>
      </c>
      <c r="E19" t="s">
        <v>16</v>
      </c>
      <c r="F19" s="4">
        <v>43958</v>
      </c>
      <c r="G19" t="s">
        <v>12</v>
      </c>
      <c r="H19" s="5">
        <v>118840</v>
      </c>
    </row>
    <row r="20" spans="2:8" x14ac:dyDescent="0.3">
      <c r="B20" t="s">
        <v>159</v>
      </c>
      <c r="C20" t="s">
        <v>15</v>
      </c>
      <c r="D20">
        <v>30</v>
      </c>
      <c r="E20" t="s">
        <v>16</v>
      </c>
      <c r="F20" s="4">
        <v>44789</v>
      </c>
      <c r="G20" t="s">
        <v>12</v>
      </c>
      <c r="H20" s="5">
        <v>69710</v>
      </c>
    </row>
    <row r="21" spans="2:8" x14ac:dyDescent="0.3">
      <c r="B21" t="s">
        <v>197</v>
      </c>
      <c r="C21" t="s">
        <v>15</v>
      </c>
      <c r="D21">
        <v>20</v>
      </c>
      <c r="E21" t="s">
        <v>16</v>
      </c>
      <c r="F21" s="4">
        <v>44683</v>
      </c>
      <c r="G21" t="s">
        <v>9</v>
      </c>
      <c r="H21" s="5">
        <v>79570</v>
      </c>
    </row>
    <row r="22" spans="2:8" x14ac:dyDescent="0.3">
      <c r="B22" t="s">
        <v>154</v>
      </c>
      <c r="C22" t="s">
        <v>8</v>
      </c>
      <c r="D22">
        <v>22</v>
      </c>
      <c r="E22" t="s">
        <v>13</v>
      </c>
      <c r="F22" s="4">
        <v>44388</v>
      </c>
      <c r="G22" t="s">
        <v>9</v>
      </c>
      <c r="H22" s="5">
        <v>76900</v>
      </c>
    </row>
    <row r="23" spans="2:8" x14ac:dyDescent="0.3">
      <c r="B23" t="s">
        <v>182</v>
      </c>
      <c r="C23" t="s">
        <v>15</v>
      </c>
      <c r="D23">
        <v>27</v>
      </c>
      <c r="E23" t="s">
        <v>16</v>
      </c>
      <c r="F23" s="4">
        <v>44073</v>
      </c>
      <c r="G23" t="s">
        <v>19</v>
      </c>
      <c r="H23" s="5">
        <v>54970</v>
      </c>
    </row>
    <row r="24" spans="2:8" x14ac:dyDescent="0.3">
      <c r="B24" t="s">
        <v>118</v>
      </c>
      <c r="C24" t="s">
        <v>15</v>
      </c>
      <c r="D24">
        <v>37</v>
      </c>
      <c r="E24" t="s">
        <v>24</v>
      </c>
      <c r="F24" s="4">
        <v>44277</v>
      </c>
      <c r="G24" t="s">
        <v>12</v>
      </c>
      <c r="H24" s="5">
        <v>88050</v>
      </c>
    </row>
    <row r="25" spans="2:8" x14ac:dyDescent="0.3">
      <c r="B25" t="s">
        <v>192</v>
      </c>
      <c r="C25" t="s">
        <v>15</v>
      </c>
      <c r="D25">
        <v>43</v>
      </c>
      <c r="E25" t="s">
        <v>16</v>
      </c>
      <c r="F25" s="4">
        <v>44558</v>
      </c>
      <c r="G25" t="s">
        <v>19</v>
      </c>
      <c r="H25" s="5">
        <v>36040</v>
      </c>
    </row>
    <row r="26" spans="2:8" x14ac:dyDescent="0.3">
      <c r="B26" t="s">
        <v>111</v>
      </c>
      <c r="C26" t="s">
        <v>8</v>
      </c>
      <c r="D26">
        <v>42</v>
      </c>
      <c r="E26" t="s">
        <v>10</v>
      </c>
      <c r="F26" s="4">
        <v>44718</v>
      </c>
      <c r="G26" t="s">
        <v>9</v>
      </c>
      <c r="H26" s="5">
        <v>75000</v>
      </c>
    </row>
    <row r="27" spans="2:8" x14ac:dyDescent="0.3">
      <c r="B27" t="s">
        <v>149</v>
      </c>
      <c r="C27" t="s">
        <v>15</v>
      </c>
      <c r="D27">
        <v>35</v>
      </c>
      <c r="E27" t="s">
        <v>16</v>
      </c>
      <c r="F27" s="4">
        <v>44666</v>
      </c>
      <c r="G27" t="s">
        <v>9</v>
      </c>
      <c r="H27" s="5">
        <v>40400</v>
      </c>
    </row>
    <row r="28" spans="2:8" x14ac:dyDescent="0.3">
      <c r="B28" t="s">
        <v>196</v>
      </c>
      <c r="C28" t="s">
        <v>15</v>
      </c>
      <c r="D28">
        <v>24</v>
      </c>
      <c r="E28" t="s">
        <v>16</v>
      </c>
      <c r="F28" s="4">
        <v>44625</v>
      </c>
      <c r="G28" t="s">
        <v>12</v>
      </c>
      <c r="H28" s="5">
        <v>100420</v>
      </c>
    </row>
    <row r="29" spans="2:8" x14ac:dyDescent="0.3">
      <c r="B29" t="s">
        <v>120</v>
      </c>
      <c r="C29" t="s">
        <v>8</v>
      </c>
      <c r="D29">
        <v>31</v>
      </c>
      <c r="E29" t="s">
        <v>16</v>
      </c>
      <c r="F29" s="4">
        <v>44604</v>
      </c>
      <c r="G29" t="s">
        <v>12</v>
      </c>
      <c r="H29" s="5">
        <v>58100</v>
      </c>
    </row>
    <row r="30" spans="2:8" x14ac:dyDescent="0.3">
      <c r="B30" t="s">
        <v>114</v>
      </c>
      <c r="C30" t="s">
        <v>8</v>
      </c>
      <c r="D30">
        <v>44</v>
      </c>
      <c r="E30" t="s">
        <v>16</v>
      </c>
      <c r="F30" s="4">
        <v>44985</v>
      </c>
      <c r="G30" t="s">
        <v>12</v>
      </c>
      <c r="H30" s="5">
        <v>114870</v>
      </c>
    </row>
    <row r="31" spans="2:8" x14ac:dyDescent="0.3">
      <c r="B31" t="s">
        <v>158</v>
      </c>
      <c r="C31" t="s">
        <v>8</v>
      </c>
      <c r="D31">
        <v>32</v>
      </c>
      <c r="E31" t="s">
        <v>16</v>
      </c>
      <c r="F31" s="4">
        <v>44549</v>
      </c>
      <c r="G31" t="s">
        <v>9</v>
      </c>
      <c r="H31" s="5">
        <v>41570</v>
      </c>
    </row>
    <row r="32" spans="2:8" x14ac:dyDescent="0.3">
      <c r="B32" t="s">
        <v>173</v>
      </c>
      <c r="C32" t="s">
        <v>8</v>
      </c>
      <c r="D32">
        <v>30</v>
      </c>
      <c r="E32" t="s">
        <v>16</v>
      </c>
      <c r="F32" s="4">
        <v>44800</v>
      </c>
      <c r="G32" t="s">
        <v>9</v>
      </c>
      <c r="H32" s="5">
        <v>112570</v>
      </c>
    </row>
    <row r="33" spans="2:8" x14ac:dyDescent="0.3">
      <c r="B33" t="s">
        <v>151</v>
      </c>
      <c r="C33" t="s">
        <v>15</v>
      </c>
      <c r="D33">
        <v>26</v>
      </c>
      <c r="E33" t="s">
        <v>16</v>
      </c>
      <c r="F33" s="4">
        <v>44164</v>
      </c>
      <c r="G33" t="s">
        <v>9</v>
      </c>
      <c r="H33" s="5">
        <v>47360</v>
      </c>
    </row>
    <row r="34" spans="2:8" x14ac:dyDescent="0.3">
      <c r="B34" t="s">
        <v>126</v>
      </c>
      <c r="C34" t="s">
        <v>8</v>
      </c>
      <c r="D34">
        <v>21</v>
      </c>
      <c r="E34" t="s">
        <v>16</v>
      </c>
      <c r="F34" s="4">
        <v>44256</v>
      </c>
      <c r="G34" t="s">
        <v>21</v>
      </c>
      <c r="H34" s="5">
        <v>65920</v>
      </c>
    </row>
    <row r="35" spans="2:8" x14ac:dyDescent="0.3">
      <c r="B35" t="s">
        <v>200</v>
      </c>
      <c r="C35" t="s">
        <v>8</v>
      </c>
      <c r="D35">
        <v>28</v>
      </c>
      <c r="E35" t="s">
        <v>16</v>
      </c>
      <c r="F35" s="4">
        <v>44571</v>
      </c>
      <c r="G35" t="s">
        <v>9</v>
      </c>
      <c r="H35" s="5">
        <v>99970</v>
      </c>
    </row>
    <row r="36" spans="2:8" x14ac:dyDescent="0.3">
      <c r="B36" t="s">
        <v>133</v>
      </c>
      <c r="C36" t="s">
        <v>8</v>
      </c>
      <c r="D36">
        <v>25</v>
      </c>
      <c r="E36" t="s">
        <v>13</v>
      </c>
      <c r="F36" s="4">
        <v>44633</v>
      </c>
      <c r="G36" t="s">
        <v>12</v>
      </c>
      <c r="H36" s="5">
        <v>80700</v>
      </c>
    </row>
    <row r="37" spans="2:8" x14ac:dyDescent="0.3">
      <c r="B37" t="s">
        <v>155</v>
      </c>
      <c r="C37" t="s">
        <v>15</v>
      </c>
      <c r="D37">
        <v>24</v>
      </c>
      <c r="E37" t="s">
        <v>24</v>
      </c>
      <c r="F37" s="4">
        <v>44375</v>
      </c>
      <c r="G37" t="s">
        <v>21</v>
      </c>
      <c r="H37" s="5">
        <v>52610</v>
      </c>
    </row>
    <row r="38" spans="2:8" x14ac:dyDescent="0.3">
      <c r="B38" t="s">
        <v>180</v>
      </c>
      <c r="C38" t="s">
        <v>15</v>
      </c>
      <c r="D38">
        <v>29</v>
      </c>
      <c r="E38" t="s">
        <v>24</v>
      </c>
      <c r="F38" s="4">
        <v>44119</v>
      </c>
      <c r="G38" t="s">
        <v>12</v>
      </c>
      <c r="H38" s="5">
        <v>112110</v>
      </c>
    </row>
    <row r="39" spans="2:8" x14ac:dyDescent="0.3">
      <c r="B39" t="s">
        <v>152</v>
      </c>
      <c r="C39" t="s">
        <v>8</v>
      </c>
      <c r="D39">
        <v>27</v>
      </c>
      <c r="E39" t="s">
        <v>16</v>
      </c>
      <c r="F39" s="4">
        <v>44061</v>
      </c>
      <c r="G39" t="s">
        <v>56</v>
      </c>
      <c r="H39" s="5">
        <v>119110</v>
      </c>
    </row>
    <row r="40" spans="2:8" x14ac:dyDescent="0.3">
      <c r="B40" t="s">
        <v>150</v>
      </c>
      <c r="C40" t="s">
        <v>15</v>
      </c>
      <c r="D40">
        <v>22</v>
      </c>
      <c r="E40" t="s">
        <v>13</v>
      </c>
      <c r="F40" s="4">
        <v>44384</v>
      </c>
      <c r="G40" t="s">
        <v>19</v>
      </c>
      <c r="H40" s="5">
        <v>112780</v>
      </c>
    </row>
    <row r="41" spans="2:8" x14ac:dyDescent="0.3">
      <c r="B41" t="s">
        <v>175</v>
      </c>
      <c r="C41" t="s">
        <v>8</v>
      </c>
      <c r="D41">
        <v>36</v>
      </c>
      <c r="E41" t="s">
        <v>16</v>
      </c>
      <c r="F41" s="4">
        <v>44023</v>
      </c>
      <c r="G41" t="s">
        <v>9</v>
      </c>
      <c r="H41" s="5">
        <v>114890</v>
      </c>
    </row>
    <row r="42" spans="2:8" x14ac:dyDescent="0.3">
      <c r="B42" t="s">
        <v>146</v>
      </c>
      <c r="C42" t="s">
        <v>15</v>
      </c>
      <c r="D42">
        <v>27</v>
      </c>
      <c r="E42" t="s">
        <v>16</v>
      </c>
      <c r="F42" s="4">
        <v>44506</v>
      </c>
      <c r="G42" t="s">
        <v>21</v>
      </c>
      <c r="H42" s="5">
        <v>48980</v>
      </c>
    </row>
    <row r="43" spans="2:8" x14ac:dyDescent="0.3">
      <c r="B43" t="s">
        <v>170</v>
      </c>
      <c r="C43" t="s">
        <v>15</v>
      </c>
      <c r="D43">
        <v>21</v>
      </c>
      <c r="E43" t="s">
        <v>16</v>
      </c>
      <c r="F43" s="4">
        <v>44180</v>
      </c>
      <c r="G43" t="s">
        <v>56</v>
      </c>
      <c r="H43" s="5">
        <v>75880</v>
      </c>
    </row>
    <row r="44" spans="2:8" x14ac:dyDescent="0.3">
      <c r="B44" t="s">
        <v>167</v>
      </c>
      <c r="C44" t="s">
        <v>8</v>
      </c>
      <c r="D44">
        <v>28</v>
      </c>
      <c r="E44" t="s">
        <v>16</v>
      </c>
      <c r="F44" s="4">
        <v>44296</v>
      </c>
      <c r="G44" t="s">
        <v>19</v>
      </c>
      <c r="H44" s="5">
        <v>53240</v>
      </c>
    </row>
    <row r="45" spans="2:8" x14ac:dyDescent="0.3">
      <c r="B45" t="s">
        <v>122</v>
      </c>
      <c r="C45" t="s">
        <v>8</v>
      </c>
      <c r="D45">
        <v>34</v>
      </c>
      <c r="E45" t="s">
        <v>16</v>
      </c>
      <c r="F45" s="4">
        <v>44397</v>
      </c>
      <c r="G45" t="s">
        <v>21</v>
      </c>
      <c r="H45" s="5">
        <v>85000</v>
      </c>
    </row>
    <row r="46" spans="2:8" x14ac:dyDescent="0.3">
      <c r="B46" t="s">
        <v>179</v>
      </c>
      <c r="C46" t="s">
        <v>8</v>
      </c>
      <c r="D46">
        <v>21</v>
      </c>
      <c r="E46" t="s">
        <v>16</v>
      </c>
      <c r="F46" s="4">
        <v>44619</v>
      </c>
      <c r="G46" t="s">
        <v>12</v>
      </c>
      <c r="H46" s="5">
        <v>33920</v>
      </c>
    </row>
    <row r="47" spans="2:8" x14ac:dyDescent="0.3">
      <c r="B47" t="s">
        <v>188</v>
      </c>
      <c r="C47" t="s">
        <v>8</v>
      </c>
      <c r="D47">
        <v>33</v>
      </c>
      <c r="E47" t="s">
        <v>16</v>
      </c>
      <c r="F47" s="4">
        <v>44253</v>
      </c>
      <c r="G47" t="s">
        <v>12</v>
      </c>
      <c r="H47" s="5">
        <v>75280</v>
      </c>
    </row>
    <row r="48" spans="2:8" x14ac:dyDescent="0.3">
      <c r="B48" t="s">
        <v>130</v>
      </c>
      <c r="C48" t="s">
        <v>8</v>
      </c>
      <c r="D48">
        <v>34</v>
      </c>
      <c r="E48" t="s">
        <v>16</v>
      </c>
      <c r="F48" s="4">
        <v>44594</v>
      </c>
      <c r="G48" t="s">
        <v>21</v>
      </c>
      <c r="H48" s="5">
        <v>58940</v>
      </c>
    </row>
    <row r="49" spans="2:8" x14ac:dyDescent="0.3">
      <c r="B49" t="s">
        <v>136</v>
      </c>
      <c r="C49" t="s">
        <v>8</v>
      </c>
      <c r="D49">
        <v>28</v>
      </c>
      <c r="E49" t="s">
        <v>16</v>
      </c>
      <c r="F49" s="4">
        <v>44425</v>
      </c>
      <c r="G49" t="s">
        <v>9</v>
      </c>
      <c r="H49" s="5">
        <v>104770</v>
      </c>
    </row>
    <row r="50" spans="2:8" x14ac:dyDescent="0.3">
      <c r="B50" t="s">
        <v>125</v>
      </c>
      <c r="C50" t="s">
        <v>15</v>
      </c>
      <c r="D50">
        <v>21</v>
      </c>
      <c r="E50" t="s">
        <v>16</v>
      </c>
      <c r="F50" s="4">
        <v>44701</v>
      </c>
      <c r="G50" t="s">
        <v>9</v>
      </c>
      <c r="H50" s="5">
        <v>57090</v>
      </c>
    </row>
    <row r="51" spans="2:8" x14ac:dyDescent="0.3">
      <c r="B51" t="s">
        <v>160</v>
      </c>
      <c r="C51" t="s">
        <v>15</v>
      </c>
      <c r="D51">
        <v>27</v>
      </c>
      <c r="E51" t="s">
        <v>13</v>
      </c>
      <c r="F51" s="4">
        <v>44174</v>
      </c>
      <c r="G51" t="s">
        <v>21</v>
      </c>
      <c r="H51" s="5">
        <v>91650</v>
      </c>
    </row>
    <row r="52" spans="2:8" x14ac:dyDescent="0.3">
      <c r="B52" t="s">
        <v>183</v>
      </c>
      <c r="C52" t="s">
        <v>15</v>
      </c>
      <c r="D52">
        <v>42</v>
      </c>
      <c r="E52" t="s">
        <v>24</v>
      </c>
      <c r="F52" s="4">
        <v>44670</v>
      </c>
      <c r="G52" t="s">
        <v>21</v>
      </c>
      <c r="H52" s="5">
        <v>70270</v>
      </c>
    </row>
    <row r="53" spans="2:8" x14ac:dyDescent="0.3">
      <c r="B53" t="s">
        <v>129</v>
      </c>
      <c r="C53" t="s">
        <v>8</v>
      </c>
      <c r="D53">
        <v>28</v>
      </c>
      <c r="E53" t="s">
        <v>16</v>
      </c>
      <c r="F53" s="4">
        <v>44124</v>
      </c>
      <c r="G53" t="s">
        <v>21</v>
      </c>
      <c r="H53" s="5">
        <v>75970</v>
      </c>
    </row>
    <row r="54" spans="2:8" x14ac:dyDescent="0.3">
      <c r="B54" t="s">
        <v>112</v>
      </c>
      <c r="D54">
        <v>27</v>
      </c>
      <c r="E54" t="s">
        <v>13</v>
      </c>
      <c r="F54" s="4">
        <v>44212</v>
      </c>
      <c r="G54" t="s">
        <v>12</v>
      </c>
      <c r="H54" s="5">
        <v>90700</v>
      </c>
    </row>
    <row r="55" spans="2:8" x14ac:dyDescent="0.3">
      <c r="B55" t="s">
        <v>131</v>
      </c>
      <c r="C55" t="s">
        <v>15</v>
      </c>
      <c r="D55">
        <v>30</v>
      </c>
      <c r="E55" t="s">
        <v>16</v>
      </c>
      <c r="F55" s="4">
        <v>44607</v>
      </c>
      <c r="G55" t="s">
        <v>9</v>
      </c>
      <c r="H55" s="5">
        <v>60570</v>
      </c>
    </row>
    <row r="56" spans="2:8" x14ac:dyDescent="0.3">
      <c r="B56" t="s">
        <v>134</v>
      </c>
      <c r="C56" t="s">
        <v>15</v>
      </c>
      <c r="D56">
        <v>33</v>
      </c>
      <c r="E56" t="s">
        <v>16</v>
      </c>
      <c r="F56" s="4">
        <v>44103</v>
      </c>
      <c r="G56" t="s">
        <v>9</v>
      </c>
      <c r="H56" s="5">
        <v>115920</v>
      </c>
    </row>
    <row r="57" spans="2:8" x14ac:dyDescent="0.3">
      <c r="B57" t="s">
        <v>186</v>
      </c>
      <c r="C57" t="s">
        <v>8</v>
      </c>
      <c r="D57">
        <v>33</v>
      </c>
      <c r="E57" t="s">
        <v>16</v>
      </c>
      <c r="F57" s="4">
        <v>44006</v>
      </c>
      <c r="G57" t="s">
        <v>21</v>
      </c>
      <c r="H57" s="5">
        <v>65360</v>
      </c>
    </row>
    <row r="58" spans="2:8" x14ac:dyDescent="0.3">
      <c r="B58" t="s">
        <v>116</v>
      </c>
      <c r="D58">
        <v>30</v>
      </c>
      <c r="E58" t="s">
        <v>16</v>
      </c>
      <c r="F58" s="4">
        <v>44535</v>
      </c>
      <c r="G58" t="s">
        <v>21</v>
      </c>
      <c r="H58" s="5">
        <v>64000</v>
      </c>
    </row>
    <row r="59" spans="2:8" x14ac:dyDescent="0.3">
      <c r="B59" t="s">
        <v>195</v>
      </c>
      <c r="C59" t="s">
        <v>8</v>
      </c>
      <c r="D59">
        <v>34</v>
      </c>
      <c r="E59" t="s">
        <v>16</v>
      </c>
      <c r="F59" s="4">
        <v>44383</v>
      </c>
      <c r="G59" t="s">
        <v>21</v>
      </c>
      <c r="H59" s="5">
        <v>92450</v>
      </c>
    </row>
    <row r="60" spans="2:8" x14ac:dyDescent="0.3">
      <c r="B60" t="s">
        <v>113</v>
      </c>
      <c r="C60" t="s">
        <v>15</v>
      </c>
      <c r="D60">
        <v>31</v>
      </c>
      <c r="E60" t="s">
        <v>16</v>
      </c>
      <c r="F60" s="4">
        <v>44450</v>
      </c>
      <c r="G60" t="s">
        <v>12</v>
      </c>
      <c r="H60" s="5">
        <v>48950</v>
      </c>
    </row>
    <row r="61" spans="2:8" x14ac:dyDescent="0.3">
      <c r="B61" t="s">
        <v>185</v>
      </c>
      <c r="C61" t="s">
        <v>8</v>
      </c>
      <c r="D61">
        <v>27</v>
      </c>
      <c r="E61" t="s">
        <v>16</v>
      </c>
      <c r="F61" s="4">
        <v>44625</v>
      </c>
      <c r="G61" t="s">
        <v>12</v>
      </c>
      <c r="H61" s="5">
        <v>83750</v>
      </c>
    </row>
    <row r="62" spans="2:8" x14ac:dyDescent="0.3">
      <c r="B62" t="s">
        <v>166</v>
      </c>
      <c r="C62" t="s">
        <v>8</v>
      </c>
      <c r="D62">
        <v>40</v>
      </c>
      <c r="E62" t="s">
        <v>16</v>
      </c>
      <c r="F62" s="4">
        <v>44276</v>
      </c>
      <c r="G62" t="s">
        <v>12</v>
      </c>
      <c r="H62" s="5">
        <v>87620</v>
      </c>
    </row>
    <row r="63" spans="2:8" x14ac:dyDescent="0.3">
      <c r="B63" t="s">
        <v>184</v>
      </c>
      <c r="C63" t="s">
        <v>8</v>
      </c>
      <c r="D63">
        <v>20</v>
      </c>
      <c r="E63" t="s">
        <v>24</v>
      </c>
      <c r="F63" s="4">
        <v>44476</v>
      </c>
      <c r="G63" t="s">
        <v>19</v>
      </c>
      <c r="H63" s="5">
        <v>68900</v>
      </c>
    </row>
    <row r="64" spans="2:8" x14ac:dyDescent="0.3">
      <c r="B64" t="s">
        <v>157</v>
      </c>
      <c r="C64" t="s">
        <v>15</v>
      </c>
      <c r="D64">
        <v>32</v>
      </c>
      <c r="E64" t="s">
        <v>16</v>
      </c>
      <c r="F64" s="4">
        <v>44403</v>
      </c>
      <c r="G64" t="s">
        <v>19</v>
      </c>
      <c r="H64" s="5">
        <v>53540</v>
      </c>
    </row>
    <row r="65" spans="2:8" x14ac:dyDescent="0.3">
      <c r="B65" t="s">
        <v>172</v>
      </c>
      <c r="C65" t="s">
        <v>15</v>
      </c>
      <c r="D65">
        <v>28</v>
      </c>
      <c r="E65" t="s">
        <v>42</v>
      </c>
      <c r="F65" s="4">
        <v>44758</v>
      </c>
      <c r="G65" t="s">
        <v>19</v>
      </c>
      <c r="H65" s="5">
        <v>43510</v>
      </c>
    </row>
    <row r="66" spans="2:8" x14ac:dyDescent="0.3">
      <c r="B66" t="s">
        <v>127</v>
      </c>
      <c r="C66" t="s">
        <v>8</v>
      </c>
      <c r="D66">
        <v>38</v>
      </c>
      <c r="E66" t="s">
        <v>10</v>
      </c>
      <c r="F66" s="4">
        <v>44316</v>
      </c>
      <c r="G66" t="s">
        <v>19</v>
      </c>
      <c r="H66" s="5">
        <v>109160</v>
      </c>
    </row>
    <row r="67" spans="2:8" x14ac:dyDescent="0.3">
      <c r="B67" t="s">
        <v>198</v>
      </c>
      <c r="C67" t="s">
        <v>15</v>
      </c>
      <c r="D67">
        <v>40</v>
      </c>
      <c r="E67" t="s">
        <v>16</v>
      </c>
      <c r="F67" s="4">
        <v>44204</v>
      </c>
      <c r="G67" t="s">
        <v>9</v>
      </c>
      <c r="H67" s="5">
        <v>99750</v>
      </c>
    </row>
    <row r="68" spans="2:8" x14ac:dyDescent="0.3">
      <c r="B68" t="s">
        <v>124</v>
      </c>
      <c r="C68" t="s">
        <v>8</v>
      </c>
      <c r="D68">
        <v>31</v>
      </c>
      <c r="E68" t="s">
        <v>16</v>
      </c>
      <c r="F68" s="4">
        <v>44084</v>
      </c>
      <c r="G68" t="s">
        <v>12</v>
      </c>
      <c r="H68" s="5">
        <v>41980</v>
      </c>
    </row>
    <row r="69" spans="2:8" x14ac:dyDescent="0.3">
      <c r="B69" t="s">
        <v>187</v>
      </c>
      <c r="C69" t="s">
        <v>15</v>
      </c>
      <c r="D69">
        <v>36</v>
      </c>
      <c r="E69" t="s">
        <v>16</v>
      </c>
      <c r="F69" s="4">
        <v>44272</v>
      </c>
      <c r="G69" t="s">
        <v>21</v>
      </c>
      <c r="H69" s="5">
        <v>71380</v>
      </c>
    </row>
    <row r="70" spans="2:8" x14ac:dyDescent="0.3">
      <c r="B70" t="s">
        <v>191</v>
      </c>
      <c r="C70" t="s">
        <v>15</v>
      </c>
      <c r="D70">
        <v>27</v>
      </c>
      <c r="E70" t="s">
        <v>42</v>
      </c>
      <c r="F70" s="4">
        <v>44547</v>
      </c>
      <c r="G70" t="s">
        <v>9</v>
      </c>
      <c r="H70" s="5">
        <v>113280</v>
      </c>
    </row>
    <row r="71" spans="2:8" x14ac:dyDescent="0.3">
      <c r="B71" t="s">
        <v>181</v>
      </c>
      <c r="C71" t="s">
        <v>8</v>
      </c>
      <c r="D71">
        <v>33</v>
      </c>
      <c r="E71" t="s">
        <v>16</v>
      </c>
      <c r="F71" s="4">
        <v>44747</v>
      </c>
      <c r="G71" t="s">
        <v>21</v>
      </c>
      <c r="H71" s="5">
        <v>86570</v>
      </c>
    </row>
    <row r="72" spans="2:8" x14ac:dyDescent="0.3">
      <c r="B72" t="s">
        <v>139</v>
      </c>
      <c r="C72" t="s">
        <v>15</v>
      </c>
      <c r="D72">
        <v>26</v>
      </c>
      <c r="E72" t="s">
        <v>16</v>
      </c>
      <c r="F72" s="4">
        <v>44350</v>
      </c>
      <c r="G72" t="s">
        <v>9</v>
      </c>
      <c r="H72" s="5">
        <v>53540</v>
      </c>
    </row>
    <row r="73" spans="2:8" x14ac:dyDescent="0.3">
      <c r="B73" t="s">
        <v>190</v>
      </c>
      <c r="C73" t="s">
        <v>15</v>
      </c>
      <c r="D73">
        <v>37</v>
      </c>
      <c r="E73" t="s">
        <v>16</v>
      </c>
      <c r="F73" s="4">
        <v>44640</v>
      </c>
      <c r="G73" t="s">
        <v>12</v>
      </c>
      <c r="H73" s="5">
        <v>69070</v>
      </c>
    </row>
    <row r="74" spans="2:8" x14ac:dyDescent="0.3">
      <c r="B74" t="s">
        <v>121</v>
      </c>
      <c r="C74" t="s">
        <v>8</v>
      </c>
      <c r="D74">
        <v>30</v>
      </c>
      <c r="E74" t="s">
        <v>24</v>
      </c>
      <c r="F74" s="4">
        <v>44328</v>
      </c>
      <c r="G74" t="s">
        <v>21</v>
      </c>
      <c r="H74" s="5">
        <v>67910</v>
      </c>
    </row>
    <row r="75" spans="2:8" x14ac:dyDescent="0.3">
      <c r="B75" t="s">
        <v>119</v>
      </c>
      <c r="C75" t="s">
        <v>15</v>
      </c>
      <c r="D75">
        <v>30</v>
      </c>
      <c r="E75" t="s">
        <v>16</v>
      </c>
      <c r="F75" s="4">
        <v>44214</v>
      </c>
      <c r="G75" t="s">
        <v>12</v>
      </c>
      <c r="H75" s="5">
        <v>69120</v>
      </c>
    </row>
    <row r="76" spans="2:8" x14ac:dyDescent="0.3">
      <c r="B76" t="s">
        <v>132</v>
      </c>
      <c r="C76" t="s">
        <v>8</v>
      </c>
      <c r="D76">
        <v>34</v>
      </c>
      <c r="E76" t="s">
        <v>16</v>
      </c>
      <c r="F76" s="4">
        <v>44550</v>
      </c>
      <c r="G76" t="s">
        <v>21</v>
      </c>
      <c r="H76" s="5">
        <v>60130</v>
      </c>
    </row>
    <row r="77" spans="2:8" x14ac:dyDescent="0.3">
      <c r="B77" t="s">
        <v>161</v>
      </c>
      <c r="C77" t="s">
        <v>15</v>
      </c>
      <c r="D77">
        <v>23</v>
      </c>
      <c r="E77" t="s">
        <v>16</v>
      </c>
      <c r="F77" s="4">
        <v>44378</v>
      </c>
      <c r="G77" t="s">
        <v>9</v>
      </c>
      <c r="H77" s="5">
        <v>106460</v>
      </c>
    </row>
    <row r="78" spans="2:8" x14ac:dyDescent="0.3">
      <c r="B78" t="s">
        <v>148</v>
      </c>
      <c r="C78" t="s">
        <v>8</v>
      </c>
      <c r="D78">
        <v>37</v>
      </c>
      <c r="E78" t="s">
        <v>16</v>
      </c>
      <c r="F78" s="4">
        <v>44389</v>
      </c>
      <c r="G78" t="s">
        <v>56</v>
      </c>
      <c r="H78" s="5">
        <v>118100</v>
      </c>
    </row>
    <row r="79" spans="2:8" x14ac:dyDescent="0.3">
      <c r="B79" t="s">
        <v>164</v>
      </c>
      <c r="C79" t="s">
        <v>8</v>
      </c>
      <c r="D79">
        <v>36</v>
      </c>
      <c r="E79" t="s">
        <v>16</v>
      </c>
      <c r="F79" s="4">
        <v>44468</v>
      </c>
      <c r="G79" t="s">
        <v>9</v>
      </c>
      <c r="H79" s="5">
        <v>78390</v>
      </c>
    </row>
    <row r="80" spans="2:8" x14ac:dyDescent="0.3">
      <c r="B80" t="s">
        <v>147</v>
      </c>
      <c r="C80" t="s">
        <v>8</v>
      </c>
      <c r="D80">
        <v>30</v>
      </c>
      <c r="E80" t="s">
        <v>16</v>
      </c>
      <c r="F80" s="4">
        <v>44789</v>
      </c>
      <c r="G80" t="s">
        <v>9</v>
      </c>
      <c r="H80" s="5">
        <v>114180</v>
      </c>
    </row>
    <row r="81" spans="2:8" x14ac:dyDescent="0.3">
      <c r="B81" t="s">
        <v>189</v>
      </c>
      <c r="C81" t="s">
        <v>8</v>
      </c>
      <c r="D81">
        <v>28</v>
      </c>
      <c r="E81" t="s">
        <v>16</v>
      </c>
      <c r="F81" s="4">
        <v>44590</v>
      </c>
      <c r="G81" t="s">
        <v>9</v>
      </c>
      <c r="H81" s="5">
        <v>104120</v>
      </c>
    </row>
    <row r="82" spans="2:8" x14ac:dyDescent="0.3">
      <c r="B82" t="s">
        <v>138</v>
      </c>
      <c r="C82" t="s">
        <v>15</v>
      </c>
      <c r="D82">
        <v>30</v>
      </c>
      <c r="E82" t="s">
        <v>16</v>
      </c>
      <c r="F82" s="4">
        <v>44640</v>
      </c>
      <c r="G82" t="s">
        <v>9</v>
      </c>
      <c r="H82" s="5">
        <v>67950</v>
      </c>
    </row>
    <row r="83" spans="2:8" x14ac:dyDescent="0.3">
      <c r="B83" t="s">
        <v>137</v>
      </c>
      <c r="C83" t="s">
        <v>8</v>
      </c>
      <c r="D83">
        <v>29</v>
      </c>
      <c r="E83" t="s">
        <v>16</v>
      </c>
      <c r="F83" s="4">
        <v>43962</v>
      </c>
      <c r="G83" t="s">
        <v>12</v>
      </c>
      <c r="H83" s="5">
        <v>34980</v>
      </c>
    </row>
    <row r="84" spans="2:8" x14ac:dyDescent="0.3">
      <c r="B84" t="s">
        <v>153</v>
      </c>
      <c r="C84" t="s">
        <v>8</v>
      </c>
      <c r="D84">
        <v>24</v>
      </c>
      <c r="E84" t="s">
        <v>16</v>
      </c>
      <c r="F84" s="4">
        <v>44087</v>
      </c>
      <c r="G84" t="s">
        <v>12</v>
      </c>
      <c r="H84" s="5">
        <v>62780</v>
      </c>
    </row>
    <row r="85" spans="2:8" x14ac:dyDescent="0.3">
      <c r="B85" t="s">
        <v>117</v>
      </c>
      <c r="C85" t="s">
        <v>15</v>
      </c>
      <c r="D85">
        <v>20</v>
      </c>
      <c r="E85" t="s">
        <v>16</v>
      </c>
      <c r="F85" s="4">
        <v>44397</v>
      </c>
      <c r="G85" t="s">
        <v>12</v>
      </c>
      <c r="H85" s="5">
        <v>107700</v>
      </c>
    </row>
    <row r="86" spans="2:8" x14ac:dyDescent="0.3">
      <c r="B86" t="s">
        <v>168</v>
      </c>
      <c r="C86" t="s">
        <v>15</v>
      </c>
      <c r="D86">
        <v>25</v>
      </c>
      <c r="E86" t="s">
        <v>16</v>
      </c>
      <c r="F86" s="4">
        <v>44322</v>
      </c>
      <c r="G86" t="s">
        <v>19</v>
      </c>
      <c r="H86" s="5">
        <v>65700</v>
      </c>
    </row>
    <row r="87" spans="2:8" x14ac:dyDescent="0.3">
      <c r="B87" t="s">
        <v>135</v>
      </c>
      <c r="C87" t="s">
        <v>8</v>
      </c>
      <c r="D87">
        <v>33</v>
      </c>
      <c r="E87" t="s">
        <v>42</v>
      </c>
      <c r="F87" s="4">
        <v>44313</v>
      </c>
      <c r="G87" t="s">
        <v>12</v>
      </c>
      <c r="H87" s="5">
        <v>75480</v>
      </c>
    </row>
    <row r="88" spans="2:8" x14ac:dyDescent="0.3">
      <c r="B88" t="s">
        <v>174</v>
      </c>
      <c r="C88" t="s">
        <v>15</v>
      </c>
      <c r="D88">
        <v>33</v>
      </c>
      <c r="E88" t="s">
        <v>16</v>
      </c>
      <c r="F88" s="4">
        <v>44448</v>
      </c>
      <c r="G88" t="s">
        <v>12</v>
      </c>
      <c r="H88" s="5">
        <v>53870</v>
      </c>
    </row>
    <row r="89" spans="2:8" x14ac:dyDescent="0.3">
      <c r="B89" t="s">
        <v>141</v>
      </c>
      <c r="C89" t="s">
        <v>8</v>
      </c>
      <c r="D89">
        <v>36</v>
      </c>
      <c r="E89" t="s">
        <v>16</v>
      </c>
      <c r="F89" s="4">
        <v>44433</v>
      </c>
      <c r="G89" t="s">
        <v>19</v>
      </c>
      <c r="H89" s="5">
        <v>78540</v>
      </c>
    </row>
    <row r="90" spans="2:8" x14ac:dyDescent="0.3">
      <c r="B90" t="s">
        <v>193</v>
      </c>
      <c r="C90" t="s">
        <v>15</v>
      </c>
      <c r="D90">
        <v>19</v>
      </c>
      <c r="E90" t="s">
        <v>16</v>
      </c>
      <c r="F90" s="4">
        <v>44218</v>
      </c>
      <c r="G90" t="s">
        <v>9</v>
      </c>
      <c r="H90" s="5">
        <v>58960</v>
      </c>
    </row>
    <row r="91" spans="2:8" x14ac:dyDescent="0.3">
      <c r="B91" t="s">
        <v>162</v>
      </c>
      <c r="C91" t="s">
        <v>15</v>
      </c>
      <c r="D91">
        <v>46</v>
      </c>
      <c r="E91" t="s">
        <v>16</v>
      </c>
      <c r="F91" s="4">
        <v>44697</v>
      </c>
      <c r="G91" t="s">
        <v>9</v>
      </c>
      <c r="H91" s="5">
        <v>70610</v>
      </c>
    </row>
    <row r="92" spans="2:8" x14ac:dyDescent="0.3">
      <c r="B92" t="s">
        <v>171</v>
      </c>
      <c r="C92" t="s">
        <v>15</v>
      </c>
      <c r="D92">
        <v>33</v>
      </c>
      <c r="E92" t="s">
        <v>16</v>
      </c>
      <c r="F92" s="4">
        <v>44181</v>
      </c>
      <c r="G92" t="s">
        <v>21</v>
      </c>
      <c r="H92" s="5">
        <v>59430</v>
      </c>
    </row>
    <row r="93" spans="2:8" x14ac:dyDescent="0.3">
      <c r="B93" t="s">
        <v>144</v>
      </c>
      <c r="C93" t="s">
        <v>15</v>
      </c>
      <c r="D93">
        <v>33</v>
      </c>
      <c r="E93" t="s">
        <v>13</v>
      </c>
      <c r="F93" s="4">
        <v>44640</v>
      </c>
      <c r="G93" t="s">
        <v>9</v>
      </c>
      <c r="H93" s="5">
        <v>48530</v>
      </c>
    </row>
    <row r="94" spans="2:8" x14ac:dyDescent="0.3">
      <c r="B94" t="s">
        <v>163</v>
      </c>
      <c r="C94" t="s">
        <v>8</v>
      </c>
      <c r="D94">
        <v>33</v>
      </c>
      <c r="E94" t="s">
        <v>16</v>
      </c>
      <c r="F94" s="4">
        <v>44129</v>
      </c>
      <c r="G94" t="s">
        <v>12</v>
      </c>
      <c r="H94" s="5">
        <v>96140</v>
      </c>
    </row>
    <row r="95" spans="2:8" x14ac:dyDescent="0.3">
      <c r="B95" t="s">
        <v>156</v>
      </c>
      <c r="C95" t="s">
        <v>15</v>
      </c>
      <c r="D95">
        <v>20</v>
      </c>
      <c r="E95" t="s">
        <v>16</v>
      </c>
      <c r="F95" s="4">
        <v>44122</v>
      </c>
      <c r="G95" t="s">
        <v>12</v>
      </c>
      <c r="H95" s="5">
        <v>112650</v>
      </c>
    </row>
    <row r="96" spans="2:8" x14ac:dyDescent="0.3">
      <c r="B96" t="s">
        <v>176</v>
      </c>
      <c r="C96" t="s">
        <v>8</v>
      </c>
      <c r="D96">
        <v>32</v>
      </c>
      <c r="E96" t="s">
        <v>13</v>
      </c>
      <c r="F96" s="4">
        <v>44293</v>
      </c>
      <c r="G96" t="s">
        <v>12</v>
      </c>
      <c r="H96" s="5">
        <v>43840</v>
      </c>
    </row>
    <row r="97" spans="2:8" x14ac:dyDescent="0.3">
      <c r="B97" t="s">
        <v>143</v>
      </c>
      <c r="C97" t="s">
        <v>15</v>
      </c>
      <c r="D97">
        <v>31</v>
      </c>
      <c r="E97" t="s">
        <v>16</v>
      </c>
      <c r="F97" s="4">
        <v>44663</v>
      </c>
      <c r="G97" t="s">
        <v>9</v>
      </c>
      <c r="H97" s="5">
        <v>103550</v>
      </c>
    </row>
    <row r="98" spans="2:8" x14ac:dyDescent="0.3">
      <c r="B98" t="s">
        <v>201</v>
      </c>
      <c r="C98" t="s">
        <v>8</v>
      </c>
      <c r="D98">
        <v>32</v>
      </c>
      <c r="E98" t="s">
        <v>16</v>
      </c>
      <c r="F98" s="4">
        <v>44339</v>
      </c>
      <c r="G98" t="s">
        <v>56</v>
      </c>
      <c r="H98" s="5">
        <v>45510</v>
      </c>
    </row>
    <row r="99" spans="2:8" x14ac:dyDescent="0.3">
      <c r="B99" t="s">
        <v>142</v>
      </c>
      <c r="D99">
        <v>37</v>
      </c>
      <c r="E99" t="s">
        <v>24</v>
      </c>
      <c r="F99" s="4">
        <v>44085</v>
      </c>
      <c r="G99" t="s">
        <v>21</v>
      </c>
      <c r="H99" s="5">
        <v>115440</v>
      </c>
    </row>
    <row r="100" spans="2:8" x14ac:dyDescent="0.3">
      <c r="B100" t="s">
        <v>202</v>
      </c>
      <c r="C100" t="s">
        <v>8</v>
      </c>
      <c r="D100">
        <v>38</v>
      </c>
      <c r="E100" t="s">
        <v>13</v>
      </c>
      <c r="F100" s="4">
        <v>44268</v>
      </c>
      <c r="G100" t="s">
        <v>19</v>
      </c>
      <c r="H100" s="5">
        <v>56870</v>
      </c>
    </row>
    <row r="101" spans="2:8" x14ac:dyDescent="0.3">
      <c r="B101" t="s">
        <v>169</v>
      </c>
      <c r="C101" t="s">
        <v>8</v>
      </c>
      <c r="D101">
        <v>25</v>
      </c>
      <c r="E101" t="s">
        <v>16</v>
      </c>
      <c r="F101" s="4">
        <v>44144</v>
      </c>
      <c r="G101" t="s">
        <v>19</v>
      </c>
      <c r="H101" s="5">
        <v>92700</v>
      </c>
    </row>
    <row r="102" spans="2:8" x14ac:dyDescent="0.3">
      <c r="B102" t="s">
        <v>145</v>
      </c>
      <c r="D102">
        <v>32</v>
      </c>
      <c r="E102" t="s">
        <v>16</v>
      </c>
      <c r="F102" s="4">
        <v>44713</v>
      </c>
      <c r="G102" t="s">
        <v>12</v>
      </c>
      <c r="H102" s="5">
        <v>91310</v>
      </c>
    </row>
    <row r="103" spans="2:8" x14ac:dyDescent="0.3">
      <c r="B103" t="s">
        <v>115</v>
      </c>
      <c r="C103" t="s">
        <v>15</v>
      </c>
      <c r="D103">
        <v>33</v>
      </c>
      <c r="E103" t="s">
        <v>16</v>
      </c>
      <c r="F103" s="4">
        <v>44324</v>
      </c>
      <c r="G103" t="s">
        <v>19</v>
      </c>
      <c r="H103" s="5">
        <v>74550</v>
      </c>
    </row>
    <row r="104" spans="2:8" x14ac:dyDescent="0.3">
      <c r="B104" t="s">
        <v>128</v>
      </c>
      <c r="C104" t="s">
        <v>15</v>
      </c>
      <c r="D104">
        <v>25</v>
      </c>
      <c r="E104" t="s">
        <v>13</v>
      </c>
      <c r="F104" s="4">
        <v>44665</v>
      </c>
      <c r="G104" t="s">
        <v>9</v>
      </c>
      <c r="H104" s="5">
        <v>109190</v>
      </c>
    </row>
    <row r="105" spans="2:8" x14ac:dyDescent="0.3">
      <c r="B105" t="s">
        <v>194</v>
      </c>
      <c r="C105" t="s">
        <v>8</v>
      </c>
      <c r="D105">
        <v>40</v>
      </c>
      <c r="E105" t="s">
        <v>16</v>
      </c>
      <c r="F105" s="4">
        <v>44320</v>
      </c>
      <c r="G105" t="s">
        <v>12</v>
      </c>
      <c r="H105" s="5">
        <v>104410</v>
      </c>
    </row>
    <row r="106" spans="2:8" x14ac:dyDescent="0.3">
      <c r="B106" t="s">
        <v>177</v>
      </c>
      <c r="C106" t="s">
        <v>15</v>
      </c>
      <c r="D106">
        <v>30</v>
      </c>
      <c r="E106" t="s">
        <v>16</v>
      </c>
      <c r="F106" s="4">
        <v>44544</v>
      </c>
      <c r="G106" t="s">
        <v>21</v>
      </c>
      <c r="H106" s="5">
        <v>96800</v>
      </c>
    </row>
    <row r="107" spans="2:8" x14ac:dyDescent="0.3">
      <c r="B107" t="s">
        <v>123</v>
      </c>
      <c r="C107" t="s">
        <v>15</v>
      </c>
      <c r="D107">
        <v>28</v>
      </c>
      <c r="E107" t="s">
        <v>13</v>
      </c>
      <c r="F107" s="4">
        <v>43980</v>
      </c>
      <c r="G107" t="s">
        <v>21</v>
      </c>
      <c r="H107" s="5">
        <v>48170</v>
      </c>
    </row>
    <row r="108" spans="2:8" x14ac:dyDescent="0.3">
      <c r="B108" t="s">
        <v>140</v>
      </c>
      <c r="C108" t="s">
        <v>15</v>
      </c>
      <c r="D108">
        <v>21</v>
      </c>
      <c r="E108" t="s">
        <v>16</v>
      </c>
      <c r="F108" s="4">
        <v>44042</v>
      </c>
      <c r="G108" t="s">
        <v>9</v>
      </c>
      <c r="H108" s="5">
        <v>37920</v>
      </c>
    </row>
    <row r="109" spans="2:8" x14ac:dyDescent="0.3">
      <c r="B109" t="s">
        <v>178</v>
      </c>
      <c r="C109" t="s">
        <v>15</v>
      </c>
      <c r="D109">
        <v>34</v>
      </c>
      <c r="E109" t="s">
        <v>16</v>
      </c>
      <c r="F109" s="4">
        <v>44642</v>
      </c>
      <c r="G109" t="s">
        <v>9</v>
      </c>
      <c r="H109" s="5">
        <v>112650</v>
      </c>
    </row>
    <row r="110" spans="2:8" x14ac:dyDescent="0.3">
      <c r="B110" t="s">
        <v>165</v>
      </c>
      <c r="C110" t="s">
        <v>8</v>
      </c>
      <c r="D110">
        <v>34</v>
      </c>
      <c r="E110" t="s">
        <v>24</v>
      </c>
      <c r="F110" s="4">
        <v>44660</v>
      </c>
      <c r="G110" t="s">
        <v>19</v>
      </c>
      <c r="H110" s="5">
        <v>49630</v>
      </c>
    </row>
    <row r="111" spans="2:8" x14ac:dyDescent="0.3">
      <c r="B111" t="s">
        <v>199</v>
      </c>
      <c r="C111" t="s">
        <v>15</v>
      </c>
      <c r="D111">
        <v>36</v>
      </c>
      <c r="E111" t="s">
        <v>16</v>
      </c>
      <c r="F111" s="4">
        <v>43958</v>
      </c>
      <c r="G111" t="s">
        <v>12</v>
      </c>
      <c r="H111" s="5">
        <v>118840</v>
      </c>
    </row>
    <row r="112" spans="2:8" x14ac:dyDescent="0.3">
      <c r="B112" t="s">
        <v>159</v>
      </c>
      <c r="C112" t="s">
        <v>15</v>
      </c>
      <c r="D112">
        <v>30</v>
      </c>
      <c r="E112" t="s">
        <v>16</v>
      </c>
      <c r="F112" s="4">
        <v>44789</v>
      </c>
      <c r="G112" t="s">
        <v>12</v>
      </c>
      <c r="H112" s="5">
        <v>69710</v>
      </c>
    </row>
    <row r="113" spans="2:8" x14ac:dyDescent="0.3">
      <c r="B113" t="s">
        <v>197</v>
      </c>
      <c r="C113" t="s">
        <v>15</v>
      </c>
      <c r="D113">
        <v>20</v>
      </c>
      <c r="E113" t="s">
        <v>16</v>
      </c>
      <c r="F113" s="4">
        <v>44683</v>
      </c>
      <c r="G113" t="s">
        <v>9</v>
      </c>
      <c r="H113" s="5">
        <v>79570</v>
      </c>
    </row>
    <row r="114" spans="2:8" x14ac:dyDescent="0.3">
      <c r="B114" t="s">
        <v>154</v>
      </c>
      <c r="C114" t="s">
        <v>8</v>
      </c>
      <c r="D114">
        <v>22</v>
      </c>
      <c r="E114" t="s">
        <v>13</v>
      </c>
      <c r="F114" s="4">
        <v>44388</v>
      </c>
      <c r="G114" t="s">
        <v>9</v>
      </c>
      <c r="H114" s="5">
        <v>76900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F93AA-D413-4B8E-B220-933FFACF6E75}">
  <sheetPr>
    <tabColor rgb="FFFFFF00"/>
  </sheetPr>
  <dimension ref="A1:P184"/>
  <sheetViews>
    <sheetView workbookViewId="0">
      <selection activeCell="L11" sqref="L11"/>
    </sheetView>
  </sheetViews>
  <sheetFormatPr defaultRowHeight="14.4" x14ac:dyDescent="0.3"/>
  <cols>
    <col min="1" max="1" width="27.33203125" bestFit="1" customWidth="1"/>
    <col min="2" max="2" width="9.33203125" bestFit="1" customWidth="1"/>
    <col min="3" max="3" width="6.44140625" style="10" bestFit="1" customWidth="1"/>
    <col min="4" max="4" width="13.21875" bestFit="1" customWidth="1"/>
    <col min="5" max="5" width="14.5546875" bestFit="1" customWidth="1"/>
    <col min="6" max="6" width="13.33203125" bestFit="1" customWidth="1"/>
    <col min="7" max="7" width="12.77734375" style="30" bestFit="1" customWidth="1"/>
    <col min="8" max="8" width="10" bestFit="1" customWidth="1"/>
    <col min="9" max="9" width="10" style="6" customWidth="1"/>
    <col min="10" max="10" width="9.109375" style="9" bestFit="1" customWidth="1"/>
    <col min="11" max="11" width="12.6640625" style="6" bestFit="1" customWidth="1"/>
    <col min="12" max="12" width="9.109375" style="9" customWidth="1"/>
    <col min="13" max="13" width="11.88671875" bestFit="1" customWidth="1"/>
    <col min="14" max="14" width="26.21875" bestFit="1" customWidth="1"/>
    <col min="15" max="15" width="18.5546875" bestFit="1" customWidth="1"/>
  </cols>
  <sheetData>
    <row r="1" spans="1:16" x14ac:dyDescent="0.3">
      <c r="A1" t="s">
        <v>0</v>
      </c>
      <c r="B1" t="s">
        <v>1</v>
      </c>
      <c r="C1" s="9" t="s">
        <v>3</v>
      </c>
      <c r="D1" t="s">
        <v>6</v>
      </c>
      <c r="E1" t="s">
        <v>4</v>
      </c>
      <c r="F1" t="s">
        <v>2</v>
      </c>
      <c r="G1" s="30" t="s">
        <v>5</v>
      </c>
      <c r="H1" t="s">
        <v>203</v>
      </c>
      <c r="I1" s="6" t="s">
        <v>224</v>
      </c>
      <c r="J1" s="9" t="s">
        <v>212</v>
      </c>
      <c r="K1" s="6" t="s">
        <v>225</v>
      </c>
    </row>
    <row r="2" spans="1:16" x14ac:dyDescent="0.3">
      <c r="A2" t="s">
        <v>179</v>
      </c>
      <c r="B2" t="s">
        <v>8</v>
      </c>
      <c r="C2">
        <v>21</v>
      </c>
      <c r="D2" t="s">
        <v>16</v>
      </c>
      <c r="E2" s="7">
        <v>44619</v>
      </c>
      <c r="F2" t="s">
        <v>12</v>
      </c>
      <c r="G2" s="30">
        <v>33920</v>
      </c>
      <c r="H2" t="s">
        <v>204</v>
      </c>
      <c r="I2" s="6">
        <f ca="1">IF(Staff[[#This Row],[Tenure]]&gt;=2,Staff[[#This Row],[Salary]]*0.03,Staff[[#This Row],[Salary]]*0.02)</f>
        <v>1017.5999999999999</v>
      </c>
      <c r="J2" s="9">
        <f ca="1">(TODAY()-Staff[[#This Row],[Date Joined]])/365</f>
        <v>4.0712328767123287</v>
      </c>
      <c r="K2" s="6">
        <f ca="1">Staff[[#This Row],[Salary]]+Staff[[#This Row],[Bonus]]</f>
        <v>34937.599999999999</v>
      </c>
    </row>
    <row r="3" spans="1:16" x14ac:dyDescent="0.3">
      <c r="A3" t="s">
        <v>86</v>
      </c>
      <c r="B3" t="s">
        <v>8</v>
      </c>
      <c r="C3">
        <v>21</v>
      </c>
      <c r="D3" t="s">
        <v>16</v>
      </c>
      <c r="E3" s="7">
        <v>44678</v>
      </c>
      <c r="F3" t="s">
        <v>12</v>
      </c>
      <c r="G3" s="30">
        <v>33920</v>
      </c>
      <c r="H3" t="s">
        <v>206</v>
      </c>
      <c r="I3" s="6">
        <f ca="1">IF(Staff[[#This Row],[Tenure]]&gt;=2,Staff[[#This Row],[Salary]]*0.03,Staff[[#This Row],[Salary]]*0.02)</f>
        <v>1017.5999999999999</v>
      </c>
      <c r="J3" s="9">
        <f ca="1">(TODAY()-Staff[[#This Row],[Date Joined]])/365</f>
        <v>3.9095890410958902</v>
      </c>
      <c r="K3" s="6">
        <f ca="1">Staff[[#This Row],[Salary]]+Staff[[#This Row],[Bonus]]</f>
        <v>34937.599999999999</v>
      </c>
    </row>
    <row r="4" spans="1:16" x14ac:dyDescent="0.3">
      <c r="A4" t="s">
        <v>137</v>
      </c>
      <c r="B4" t="s">
        <v>8</v>
      </c>
      <c r="C4">
        <v>29</v>
      </c>
      <c r="D4" t="s">
        <v>16</v>
      </c>
      <c r="E4" s="7">
        <v>43962</v>
      </c>
      <c r="F4" t="s">
        <v>12</v>
      </c>
      <c r="G4" s="30">
        <v>34980</v>
      </c>
      <c r="H4" t="s">
        <v>204</v>
      </c>
      <c r="I4" s="6">
        <f ca="1">IF(Staff[[#This Row],[Tenure]]&gt;=2,Staff[[#This Row],[Salary]]*0.03,Staff[[#This Row],[Salary]]*0.02)</f>
        <v>1049.3999999999999</v>
      </c>
      <c r="J4" s="9">
        <f ca="1">(TODAY()-Staff[[#This Row],[Date Joined]])/365</f>
        <v>5.8712328767123285</v>
      </c>
      <c r="K4" s="6">
        <f ca="1">Staff[[#This Row],[Salary]]+Staff[[#This Row],[Bonus]]</f>
        <v>36029.4</v>
      </c>
    </row>
    <row r="5" spans="1:16" ht="20.399999999999999" thickBot="1" x14ac:dyDescent="0.45">
      <c r="A5" t="s">
        <v>44</v>
      </c>
      <c r="B5" t="s">
        <v>8</v>
      </c>
      <c r="C5">
        <v>29</v>
      </c>
      <c r="D5" t="s">
        <v>16</v>
      </c>
      <c r="E5" s="7">
        <v>44023</v>
      </c>
      <c r="F5" t="s">
        <v>12</v>
      </c>
      <c r="G5" s="30">
        <v>34980</v>
      </c>
      <c r="H5" t="s">
        <v>206</v>
      </c>
      <c r="I5" s="6">
        <f ca="1">IF(Staff[[#This Row],[Tenure]]&gt;=2,Staff[[#This Row],[Salary]]*0.03,Staff[[#This Row],[Salary]]*0.02)</f>
        <v>1049.3999999999999</v>
      </c>
      <c r="J5" s="9">
        <f ca="1">(TODAY()-Staff[[#This Row],[Date Joined]])/365</f>
        <v>5.7041095890410958</v>
      </c>
      <c r="K5" s="6">
        <f ca="1">Staff[[#This Row],[Salary]]+Staff[[#This Row],[Bonus]]</f>
        <v>36029.4</v>
      </c>
      <c r="M5" s="13">
        <v>1</v>
      </c>
      <c r="N5" t="s">
        <v>215</v>
      </c>
      <c r="O5" t="s">
        <v>214</v>
      </c>
      <c r="P5" t="s">
        <v>213</v>
      </c>
    </row>
    <row r="6" spans="1:16" ht="15" thickTop="1" x14ac:dyDescent="0.3">
      <c r="A6" t="s">
        <v>192</v>
      </c>
      <c r="B6" t="s">
        <v>15</v>
      </c>
      <c r="C6">
        <v>43</v>
      </c>
      <c r="D6" t="s">
        <v>16</v>
      </c>
      <c r="E6" s="7">
        <v>44558</v>
      </c>
      <c r="F6" t="s">
        <v>19</v>
      </c>
      <c r="G6" s="30">
        <v>36040</v>
      </c>
      <c r="H6" t="s">
        <v>204</v>
      </c>
      <c r="I6" s="6">
        <f ca="1">IF(Staff[[#This Row],[Tenure]]&gt;=2,Staff[[#This Row],[Salary]]*0.03,Staff[[#This Row],[Salary]]*0.02)</f>
        <v>1081.2</v>
      </c>
      <c r="J6" s="9">
        <f ca="1">(TODAY()-Staff[[#This Row],[Date Joined]])/365</f>
        <v>4.2383561643835614</v>
      </c>
      <c r="K6" s="6">
        <f ca="1">Staff[[#This Row],[Salary]]+Staff[[#This Row],[Bonus]]</f>
        <v>37121.199999999997</v>
      </c>
      <c r="N6" t="s">
        <v>207</v>
      </c>
      <c r="O6">
        <f>COUNTA(Staff[Name])</f>
        <v>183</v>
      </c>
    </row>
    <row r="7" spans="1:16" x14ac:dyDescent="0.3">
      <c r="A7" t="s">
        <v>99</v>
      </c>
      <c r="B7" t="s">
        <v>15</v>
      </c>
      <c r="C7">
        <v>43</v>
      </c>
      <c r="D7" t="s">
        <v>16</v>
      </c>
      <c r="E7" s="7">
        <v>44620</v>
      </c>
      <c r="F7" t="s">
        <v>19</v>
      </c>
      <c r="G7" s="30">
        <v>36040</v>
      </c>
      <c r="H7" t="s">
        <v>206</v>
      </c>
      <c r="I7" s="6">
        <f ca="1">IF(Staff[[#This Row],[Tenure]]&gt;=2,Staff[[#This Row],[Salary]]*0.03,Staff[[#This Row],[Salary]]*0.02)</f>
        <v>1081.2</v>
      </c>
      <c r="J7" s="9">
        <f ca="1">(TODAY()-Staff[[#This Row],[Date Joined]])/365</f>
        <v>4.0684931506849313</v>
      </c>
      <c r="K7" s="6">
        <f ca="1">Staff[[#This Row],[Salary]]+Staff[[#This Row],[Bonus]]</f>
        <v>37121.199999999997</v>
      </c>
      <c r="N7" t="s">
        <v>209</v>
      </c>
      <c r="O7">
        <f>AVERAGE(Staff[Salary])</f>
        <v>77173.715846994543</v>
      </c>
      <c r="P7">
        <f>MEDIAN(Staff[Salary])</f>
        <v>75000</v>
      </c>
    </row>
    <row r="8" spans="1:16" x14ac:dyDescent="0.3">
      <c r="A8" t="s">
        <v>140</v>
      </c>
      <c r="B8" t="s">
        <v>15</v>
      </c>
      <c r="C8">
        <v>21</v>
      </c>
      <c r="D8" t="s">
        <v>16</v>
      </c>
      <c r="E8" s="7">
        <v>44042</v>
      </c>
      <c r="F8" t="s">
        <v>9</v>
      </c>
      <c r="G8" s="30">
        <v>37920</v>
      </c>
      <c r="H8" t="s">
        <v>204</v>
      </c>
      <c r="I8" s="6">
        <f ca="1">IF(Staff[[#This Row],[Tenure]]&gt;=2,Staff[[#This Row],[Salary]]*0.03,Staff[[#This Row],[Salary]]*0.02)</f>
        <v>1137.5999999999999</v>
      </c>
      <c r="J8" s="9">
        <f ca="1">(TODAY()-Staff[[#This Row],[Date Joined]])/365</f>
        <v>5.6520547945205477</v>
      </c>
      <c r="K8" s="6">
        <f ca="1">Staff[[#This Row],[Salary]]+Staff[[#This Row],[Bonus]]</f>
        <v>39057.599999999999</v>
      </c>
      <c r="N8" t="s">
        <v>208</v>
      </c>
      <c r="O8" s="9">
        <f>AVERAGE(Staff[Age])</f>
        <v>30.42622950819672</v>
      </c>
      <c r="P8">
        <f>MEDIAN(Staff[Age])</f>
        <v>30</v>
      </c>
    </row>
    <row r="9" spans="1:16" x14ac:dyDescent="0.3">
      <c r="A9" t="s">
        <v>47</v>
      </c>
      <c r="B9" t="s">
        <v>15</v>
      </c>
      <c r="C9">
        <v>21</v>
      </c>
      <c r="D9" t="s">
        <v>16</v>
      </c>
      <c r="E9" s="7">
        <v>44104</v>
      </c>
      <c r="F9" t="s">
        <v>9</v>
      </c>
      <c r="G9" s="30">
        <v>37920</v>
      </c>
      <c r="H9" t="s">
        <v>206</v>
      </c>
      <c r="I9" s="6">
        <f ca="1">IF(Staff[[#This Row],[Tenure]]&gt;=2,Staff[[#This Row],[Salary]]*0.03,Staff[[#This Row],[Salary]]*0.02)</f>
        <v>1137.5999999999999</v>
      </c>
      <c r="J9" s="9">
        <f ca="1">(TODAY()-Staff[[#This Row],[Date Joined]])/365</f>
        <v>5.4821917808219176</v>
      </c>
      <c r="K9" s="6">
        <f ca="1">Staff[[#This Row],[Salary]]+Staff[[#This Row],[Bonus]]</f>
        <v>39057.599999999999</v>
      </c>
      <c r="N9" t="s">
        <v>211</v>
      </c>
      <c r="O9">
        <f ca="1">AVERAGE(J:J)</f>
        <v>4.5807320907253546</v>
      </c>
      <c r="P9" s="9">
        <f ca="1">MEDIAN(J:J)</f>
        <v>4.602739726027397</v>
      </c>
    </row>
    <row r="10" spans="1:16" x14ac:dyDescent="0.3">
      <c r="A10" t="s">
        <v>149</v>
      </c>
      <c r="B10" t="s">
        <v>15</v>
      </c>
      <c r="C10">
        <v>35</v>
      </c>
      <c r="D10" t="s">
        <v>16</v>
      </c>
      <c r="E10" s="7">
        <v>44666</v>
      </c>
      <c r="F10" t="s">
        <v>9</v>
      </c>
      <c r="G10" s="30">
        <v>40400</v>
      </c>
      <c r="H10" t="s">
        <v>204</v>
      </c>
      <c r="I10" s="6">
        <f ca="1">IF(Staff[[#This Row],[Tenure]]&gt;=2,Staff[[#This Row],[Salary]]*0.03,Staff[[#This Row],[Salary]]*0.02)</f>
        <v>1212</v>
      </c>
      <c r="J10" s="9">
        <f ca="1">(TODAY()-Staff[[#This Row],[Date Joined]])/365</f>
        <v>3.9424657534246577</v>
      </c>
      <c r="K10" s="6">
        <f ca="1">Staff[[#This Row],[Salary]]+Staff[[#This Row],[Bonus]]</f>
        <v>41612</v>
      </c>
      <c r="N10" t="s">
        <v>210</v>
      </c>
      <c r="O10" s="11">
        <f>COUNTIF(B:B,"Female")/COUNTA(B:B)</f>
        <v>0.46739130434782611</v>
      </c>
    </row>
    <row r="11" spans="1:16" x14ac:dyDescent="0.3">
      <c r="A11" t="s">
        <v>57</v>
      </c>
      <c r="B11" t="s">
        <v>15</v>
      </c>
      <c r="C11">
        <v>35</v>
      </c>
      <c r="D11" t="s">
        <v>16</v>
      </c>
      <c r="E11" s="7">
        <v>44727</v>
      </c>
      <c r="F11" t="s">
        <v>9</v>
      </c>
      <c r="G11" s="30">
        <v>40400</v>
      </c>
      <c r="H11" t="s">
        <v>206</v>
      </c>
      <c r="I11" s="6">
        <f ca="1">IF(Staff[[#This Row],[Tenure]]&gt;=2,Staff[[#This Row],[Salary]]*0.03,Staff[[#This Row],[Salary]]*0.02)</f>
        <v>1212</v>
      </c>
      <c r="J11" s="9">
        <f ca="1">(TODAY()-Staff[[#This Row],[Date Joined]])/365</f>
        <v>3.7753424657534245</v>
      </c>
      <c r="K11" s="6">
        <f ca="1">Staff[[#This Row],[Salary]]+Staff[[#This Row],[Bonus]]</f>
        <v>41612</v>
      </c>
      <c r="N11" t="s">
        <v>216</v>
      </c>
      <c r="O11" s="11">
        <f>COUNTIF(B:B,"Male")/COUNTA(B:B)</f>
        <v>0.48369565217391303</v>
      </c>
    </row>
    <row r="12" spans="1:16" x14ac:dyDescent="0.3">
      <c r="A12" t="s">
        <v>158</v>
      </c>
      <c r="B12" t="s">
        <v>8</v>
      </c>
      <c r="C12">
        <v>32</v>
      </c>
      <c r="D12" t="s">
        <v>16</v>
      </c>
      <c r="E12" s="7">
        <v>44549</v>
      </c>
      <c r="F12" t="s">
        <v>9</v>
      </c>
      <c r="G12" s="30">
        <v>41570</v>
      </c>
      <c r="H12" t="s">
        <v>204</v>
      </c>
      <c r="I12" s="6">
        <f ca="1">IF(Staff[[#This Row],[Tenure]]&gt;=2,Staff[[#This Row],[Salary]]*0.03,Staff[[#This Row],[Salary]]*0.02)</f>
        <v>1247.0999999999999</v>
      </c>
      <c r="J12" s="9">
        <f ca="1">(TODAY()-Staff[[#This Row],[Date Joined]])/365</f>
        <v>4.2630136986301368</v>
      </c>
      <c r="K12" s="6">
        <f ca="1">Staff[[#This Row],[Salary]]+Staff[[#This Row],[Bonus]]</f>
        <v>42817.1</v>
      </c>
      <c r="N12" t="s">
        <v>217</v>
      </c>
      <c r="O12" s="12">
        <f>COUNTIF(G:G,"&gt;90000")/COUNT(G:G)</f>
        <v>0.34426229508196721</v>
      </c>
    </row>
    <row r="13" spans="1:16" x14ac:dyDescent="0.3">
      <c r="A13" t="s">
        <v>66</v>
      </c>
      <c r="B13" t="s">
        <v>8</v>
      </c>
      <c r="C13">
        <v>32</v>
      </c>
      <c r="D13" t="s">
        <v>16</v>
      </c>
      <c r="E13" s="7">
        <v>44611</v>
      </c>
      <c r="F13" t="s">
        <v>9</v>
      </c>
      <c r="G13" s="30">
        <v>41570</v>
      </c>
      <c r="H13" t="s">
        <v>206</v>
      </c>
      <c r="I13" s="6">
        <f ca="1">IF(Staff[[#This Row],[Tenure]]&gt;=2,Staff[[#This Row],[Salary]]*0.03,Staff[[#This Row],[Salary]]*0.02)</f>
        <v>1247.0999999999999</v>
      </c>
      <c r="J13" s="9">
        <f ca="1">(TODAY()-Staff[[#This Row],[Date Joined]])/365</f>
        <v>4.0931506849315067</v>
      </c>
      <c r="K13" s="6">
        <f ca="1">Staff[[#This Row],[Salary]]+Staff[[#This Row],[Bonus]]</f>
        <v>42817.1</v>
      </c>
    </row>
    <row r="14" spans="1:16" x14ac:dyDescent="0.3">
      <c r="A14" t="s">
        <v>124</v>
      </c>
      <c r="B14" t="s">
        <v>8</v>
      </c>
      <c r="C14">
        <v>31</v>
      </c>
      <c r="D14" t="s">
        <v>16</v>
      </c>
      <c r="E14" s="7">
        <v>44084</v>
      </c>
      <c r="F14" t="s">
        <v>12</v>
      </c>
      <c r="G14" s="30">
        <v>41980</v>
      </c>
      <c r="H14" t="s">
        <v>204</v>
      </c>
      <c r="I14" s="6">
        <f ca="1">IF(Staff[[#This Row],[Tenure]]&gt;=2,Staff[[#This Row],[Salary]]*0.03,Staff[[#This Row],[Salary]]*0.02)</f>
        <v>1259.3999999999999</v>
      </c>
      <c r="J14" s="9">
        <f ca="1">(TODAY()-Staff[[#This Row],[Date Joined]])/365</f>
        <v>5.536986301369863</v>
      </c>
      <c r="K14" s="6">
        <f ca="1">Staff[[#This Row],[Salary]]+Staff[[#This Row],[Bonus]]</f>
        <v>43239.4</v>
      </c>
    </row>
    <row r="15" spans="1:16" x14ac:dyDescent="0.3">
      <c r="A15" t="s">
        <v>30</v>
      </c>
      <c r="B15" t="s">
        <v>8</v>
      </c>
      <c r="C15">
        <v>31</v>
      </c>
      <c r="D15" t="s">
        <v>16</v>
      </c>
      <c r="E15" s="7">
        <v>44145</v>
      </c>
      <c r="F15" t="s">
        <v>12</v>
      </c>
      <c r="G15" s="30">
        <v>41980</v>
      </c>
      <c r="H15" t="s">
        <v>206</v>
      </c>
      <c r="I15" s="6">
        <f ca="1">IF(Staff[[#This Row],[Tenure]]&gt;=2,Staff[[#This Row],[Salary]]*0.03,Staff[[#This Row],[Salary]]*0.02)</f>
        <v>1259.3999999999999</v>
      </c>
      <c r="J15" s="9">
        <f ca="1">(TODAY()-Staff[[#This Row],[Date Joined]])/365</f>
        <v>5.3698630136986303</v>
      </c>
      <c r="K15" s="6">
        <f ca="1">Staff[[#This Row],[Salary]]+Staff[[#This Row],[Bonus]]</f>
        <v>43239.4</v>
      </c>
    </row>
    <row r="16" spans="1:16" x14ac:dyDescent="0.3">
      <c r="A16" t="s">
        <v>172</v>
      </c>
      <c r="B16" t="s">
        <v>15</v>
      </c>
      <c r="C16">
        <v>28</v>
      </c>
      <c r="D16" t="s">
        <v>42</v>
      </c>
      <c r="E16" s="7">
        <v>44758</v>
      </c>
      <c r="F16" t="s">
        <v>19</v>
      </c>
      <c r="G16" s="30">
        <v>43510</v>
      </c>
      <c r="H16" t="s">
        <v>204</v>
      </c>
      <c r="I16" s="6">
        <f ca="1">IF(Staff[[#This Row],[Tenure]]&gt;=2,Staff[[#This Row],[Salary]]*0.03,Staff[[#This Row],[Salary]]*0.02)</f>
        <v>1305.3</v>
      </c>
      <c r="J16" s="9">
        <f ca="1">(TODAY()-Staff[[#This Row],[Date Joined]])/365</f>
        <v>3.6904109589041094</v>
      </c>
      <c r="K16" s="6">
        <f ca="1">Staff[[#This Row],[Salary]]+Staff[[#This Row],[Bonus]]</f>
        <v>44815.3</v>
      </c>
    </row>
    <row r="17" spans="1:15" ht="20.399999999999999" thickBot="1" x14ac:dyDescent="0.45">
      <c r="A17" t="s">
        <v>80</v>
      </c>
      <c r="B17" t="s">
        <v>15</v>
      </c>
      <c r="C17">
        <v>28</v>
      </c>
      <c r="D17" t="s">
        <v>42</v>
      </c>
      <c r="E17" s="7">
        <v>44820</v>
      </c>
      <c r="F17" t="s">
        <v>19</v>
      </c>
      <c r="G17" s="30">
        <v>43510</v>
      </c>
      <c r="H17" t="s">
        <v>206</v>
      </c>
      <c r="I17" s="6">
        <f ca="1">IF(Staff[[#This Row],[Tenure]]&gt;=2,Staff[[#This Row],[Salary]]*0.03,Staff[[#This Row],[Salary]]*0.02)</f>
        <v>1305.3</v>
      </c>
      <c r="J17" s="9">
        <f ca="1">(TODAY()-Staff[[#This Row],[Date Joined]])/365</f>
        <v>3.5205479452054793</v>
      </c>
      <c r="K17" s="6">
        <f ca="1">Staff[[#This Row],[Salary]]+Staff[[#This Row],[Bonus]]</f>
        <v>44815.3</v>
      </c>
      <c r="M17" s="13">
        <v>2</v>
      </c>
      <c r="N17" s="19" t="s">
        <v>142</v>
      </c>
    </row>
    <row r="18" spans="1:15" ht="15" thickTop="1" x14ac:dyDescent="0.3">
      <c r="A18" t="s">
        <v>176</v>
      </c>
      <c r="B18" t="s">
        <v>8</v>
      </c>
      <c r="C18">
        <v>32</v>
      </c>
      <c r="D18" t="s">
        <v>13</v>
      </c>
      <c r="E18" s="7">
        <v>44293</v>
      </c>
      <c r="F18" t="s">
        <v>12</v>
      </c>
      <c r="G18" s="30">
        <v>43840</v>
      </c>
      <c r="H18" t="s">
        <v>204</v>
      </c>
      <c r="I18" s="6">
        <f ca="1">IF(Staff[[#This Row],[Tenure]]&gt;=2,Staff[[#This Row],[Salary]]*0.03,Staff[[#This Row],[Salary]]*0.02)</f>
        <v>1315.2</v>
      </c>
      <c r="J18" s="9">
        <f ca="1">(TODAY()-Staff[[#This Row],[Date Joined]])/365</f>
        <v>4.9643835616438352</v>
      </c>
      <c r="K18" s="6">
        <f ca="1">Staff[[#This Row],[Salary]]+Staff[[#This Row],[Bonus]]</f>
        <v>45155.199999999997</v>
      </c>
    </row>
    <row r="19" spans="1:15" ht="21" x14ac:dyDescent="0.4">
      <c r="A19" t="s">
        <v>84</v>
      </c>
      <c r="B19" t="s">
        <v>8</v>
      </c>
      <c r="C19">
        <v>32</v>
      </c>
      <c r="D19" t="s">
        <v>13</v>
      </c>
      <c r="E19" s="7">
        <v>44354</v>
      </c>
      <c r="F19" t="s">
        <v>12</v>
      </c>
      <c r="G19" s="30">
        <v>43840</v>
      </c>
      <c r="H19" t="s">
        <v>206</v>
      </c>
      <c r="I19" s="6">
        <f ca="1">IF(Staff[[#This Row],[Tenure]]&gt;=2,Staff[[#This Row],[Salary]]*0.03,Staff[[#This Row],[Salary]]*0.02)</f>
        <v>1315.2</v>
      </c>
      <c r="J19" s="9">
        <f ca="1">(TODAY()-Staff[[#This Row],[Date Joined]])/365</f>
        <v>4.7972602739726025</v>
      </c>
      <c r="K19" s="6">
        <f ca="1">Staff[[#This Row],[Salary]]+Staff[[#This Row],[Bonus]]</f>
        <v>45155.199999999997</v>
      </c>
      <c r="M19" s="20" t="s">
        <v>218</v>
      </c>
      <c r="N19" s="8" t="s">
        <v>0</v>
      </c>
      <c r="O19" s="18" t="str" cm="1">
        <f t="array" aca="1" ref="O19:O28" ca="1">TRANSPOSE(_xlfn.XLOOKUP(N17,A:A,A:J))</f>
        <v>Sahila Chandrasekhar</v>
      </c>
    </row>
    <row r="20" spans="1:15" x14ac:dyDescent="0.3">
      <c r="A20" t="s">
        <v>201</v>
      </c>
      <c r="B20" t="s">
        <v>8</v>
      </c>
      <c r="C20">
        <v>32</v>
      </c>
      <c r="D20" t="s">
        <v>16</v>
      </c>
      <c r="E20" s="7">
        <v>44339</v>
      </c>
      <c r="F20" t="s">
        <v>56</v>
      </c>
      <c r="G20" s="30">
        <v>45510</v>
      </c>
      <c r="H20" t="s">
        <v>204</v>
      </c>
      <c r="I20" s="6">
        <f ca="1">IF(Staff[[#This Row],[Tenure]]&gt;=2,Staff[[#This Row],[Salary]]*0.03,Staff[[#This Row],[Salary]]*0.02)</f>
        <v>1365.3</v>
      </c>
      <c r="J20" s="9">
        <f ca="1">(TODAY()-Staff[[#This Row],[Date Joined]])/365</f>
        <v>4.838356164383562</v>
      </c>
      <c r="K20" s="6">
        <f ca="1">Staff[[#This Row],[Salary]]+Staff[[#This Row],[Bonus]]</f>
        <v>46875.3</v>
      </c>
      <c r="N20" s="8" t="s">
        <v>1</v>
      </c>
      <c r="O20" s="18" t="str">
        <f ca="1"/>
        <v>Other</v>
      </c>
    </row>
    <row r="21" spans="1:15" x14ac:dyDescent="0.3">
      <c r="A21" t="s">
        <v>108</v>
      </c>
      <c r="B21" t="s">
        <v>8</v>
      </c>
      <c r="C21">
        <v>32</v>
      </c>
      <c r="D21" t="s">
        <v>16</v>
      </c>
      <c r="E21" s="7">
        <v>44400</v>
      </c>
      <c r="F21" t="s">
        <v>56</v>
      </c>
      <c r="G21" s="30">
        <v>45510</v>
      </c>
      <c r="H21" t="s">
        <v>206</v>
      </c>
      <c r="I21" s="6">
        <f ca="1">IF(Staff[[#This Row],[Tenure]]&gt;=2,Staff[[#This Row],[Salary]]*0.03,Staff[[#This Row],[Salary]]*0.02)</f>
        <v>1365.3</v>
      </c>
      <c r="J21" s="9">
        <f ca="1">(TODAY()-Staff[[#This Row],[Date Joined]])/365</f>
        <v>4.6712328767123283</v>
      </c>
      <c r="K21" s="6">
        <f ca="1">Staff[[#This Row],[Salary]]+Staff[[#This Row],[Bonus]]</f>
        <v>46875.3</v>
      </c>
      <c r="N21" s="14" t="s">
        <v>3</v>
      </c>
      <c r="O21" s="16">
        <f ca="1"/>
        <v>37</v>
      </c>
    </row>
    <row r="22" spans="1:15" x14ac:dyDescent="0.3">
      <c r="A22" t="s">
        <v>151</v>
      </c>
      <c r="B22" t="s">
        <v>15</v>
      </c>
      <c r="C22">
        <v>26</v>
      </c>
      <c r="D22" t="s">
        <v>16</v>
      </c>
      <c r="E22" s="7">
        <v>44164</v>
      </c>
      <c r="F22" t="s">
        <v>9</v>
      </c>
      <c r="G22" s="30">
        <v>47360</v>
      </c>
      <c r="H22" t="s">
        <v>204</v>
      </c>
      <c r="I22" s="6">
        <f ca="1">IF(Staff[[#This Row],[Tenure]]&gt;=2,Staff[[#This Row],[Salary]]*0.03,Staff[[#This Row],[Salary]]*0.02)</f>
        <v>1420.8</v>
      </c>
      <c r="J22" s="9">
        <f ca="1">(TODAY()-Staff[[#This Row],[Date Joined]])/365</f>
        <v>5.3178082191780822</v>
      </c>
      <c r="K22" s="6">
        <f ca="1">Staff[[#This Row],[Salary]]+Staff[[#This Row],[Bonus]]</f>
        <v>48780.800000000003</v>
      </c>
      <c r="N22" s="8" t="s">
        <v>6</v>
      </c>
      <c r="O22" s="18" t="str">
        <f ca="1"/>
        <v>Poor</v>
      </c>
    </row>
    <row r="23" spans="1:15" x14ac:dyDescent="0.3">
      <c r="A23" t="s">
        <v>59</v>
      </c>
      <c r="B23" t="s">
        <v>15</v>
      </c>
      <c r="C23">
        <v>26</v>
      </c>
      <c r="D23" t="s">
        <v>16</v>
      </c>
      <c r="E23" s="7">
        <v>44225</v>
      </c>
      <c r="F23" t="s">
        <v>9</v>
      </c>
      <c r="G23" s="30">
        <v>47360</v>
      </c>
      <c r="H23" t="s">
        <v>206</v>
      </c>
      <c r="I23" s="6">
        <f ca="1">IF(Staff[[#This Row],[Tenure]]&gt;=2,Staff[[#This Row],[Salary]]*0.03,Staff[[#This Row],[Salary]]*0.02)</f>
        <v>1420.8</v>
      </c>
      <c r="J23" s="9">
        <f ca="1">(TODAY()-Staff[[#This Row],[Date Joined]])/365</f>
        <v>5.1506849315068495</v>
      </c>
      <c r="K23" s="6">
        <f ca="1">Staff[[#This Row],[Salary]]+Staff[[#This Row],[Bonus]]</f>
        <v>48780.800000000003</v>
      </c>
      <c r="N23" s="8" t="s">
        <v>4</v>
      </c>
      <c r="O23" s="15">
        <f ca="1"/>
        <v>44085</v>
      </c>
    </row>
    <row r="24" spans="1:15" x14ac:dyDescent="0.3">
      <c r="A24" t="s">
        <v>123</v>
      </c>
      <c r="B24" t="s">
        <v>15</v>
      </c>
      <c r="C24">
        <v>28</v>
      </c>
      <c r="D24" t="s">
        <v>13</v>
      </c>
      <c r="E24" s="7">
        <v>43980</v>
      </c>
      <c r="F24" t="s">
        <v>21</v>
      </c>
      <c r="G24" s="30">
        <v>48170</v>
      </c>
      <c r="H24" t="s">
        <v>204</v>
      </c>
      <c r="I24" s="6">
        <f ca="1">IF(Staff[[#This Row],[Tenure]]&gt;=2,Staff[[#This Row],[Salary]]*0.03,Staff[[#This Row],[Salary]]*0.02)</f>
        <v>1445.1</v>
      </c>
      <c r="J24" s="9">
        <f ca="1">(TODAY()-Staff[[#This Row],[Date Joined]])/365</f>
        <v>5.8219178082191778</v>
      </c>
      <c r="K24" s="6">
        <f ca="1">Staff[[#This Row],[Salary]]+Staff[[#This Row],[Bonus]]</f>
        <v>49615.1</v>
      </c>
      <c r="N24" s="8" t="s">
        <v>2</v>
      </c>
      <c r="O24" s="18" t="str">
        <f ca="1"/>
        <v>Finance</v>
      </c>
    </row>
    <row r="25" spans="1:15" x14ac:dyDescent="0.3">
      <c r="A25" t="s">
        <v>29</v>
      </c>
      <c r="B25" t="s">
        <v>15</v>
      </c>
      <c r="C25">
        <v>28</v>
      </c>
      <c r="D25" t="s">
        <v>13</v>
      </c>
      <c r="E25" s="7">
        <v>44041</v>
      </c>
      <c r="F25" t="s">
        <v>21</v>
      </c>
      <c r="G25" s="30">
        <v>48170</v>
      </c>
      <c r="H25" t="s">
        <v>206</v>
      </c>
      <c r="I25" s="6">
        <f ca="1">IF(Staff[[#This Row],[Tenure]]&gt;=2,Staff[[#This Row],[Salary]]*0.03,Staff[[#This Row],[Salary]]*0.02)</f>
        <v>1445.1</v>
      </c>
      <c r="J25" s="9">
        <f ca="1">(TODAY()-Staff[[#This Row],[Date Joined]])/365</f>
        <v>5.6547945205479451</v>
      </c>
      <c r="K25" s="6">
        <f ca="1">Staff[[#This Row],[Salary]]+Staff[[#This Row],[Bonus]]</f>
        <v>49615.1</v>
      </c>
      <c r="N25" s="8" t="s">
        <v>5</v>
      </c>
      <c r="O25" s="17">
        <f ca="1"/>
        <v>115440</v>
      </c>
    </row>
    <row r="26" spans="1:15" x14ac:dyDescent="0.3">
      <c r="A26" t="s">
        <v>144</v>
      </c>
      <c r="B26" t="s">
        <v>15</v>
      </c>
      <c r="C26">
        <v>33</v>
      </c>
      <c r="D26" t="s">
        <v>13</v>
      </c>
      <c r="E26" s="7">
        <v>44640</v>
      </c>
      <c r="F26" t="s">
        <v>9</v>
      </c>
      <c r="G26" s="30">
        <v>48530</v>
      </c>
      <c r="H26" t="s">
        <v>204</v>
      </c>
      <c r="I26" s="6">
        <f ca="1">IF(Staff[[#This Row],[Tenure]]&gt;=2,Staff[[#This Row],[Salary]]*0.03,Staff[[#This Row],[Salary]]*0.02)</f>
        <v>1455.8999999999999</v>
      </c>
      <c r="J26" s="9">
        <f ca="1">(TODAY()-Staff[[#This Row],[Date Joined]])/365</f>
        <v>4.0136986301369859</v>
      </c>
      <c r="K26" s="6">
        <f ca="1">Staff[[#This Row],[Salary]]+Staff[[#This Row],[Bonus]]</f>
        <v>49985.9</v>
      </c>
      <c r="N26" s="8" t="s">
        <v>203</v>
      </c>
      <c r="O26" s="18" t="str">
        <f ca="1"/>
        <v>Ind</v>
      </c>
    </row>
    <row r="27" spans="1:15" x14ac:dyDescent="0.3">
      <c r="A27" t="s">
        <v>51</v>
      </c>
      <c r="B27" t="s">
        <v>15</v>
      </c>
      <c r="C27">
        <v>33</v>
      </c>
      <c r="D27" t="s">
        <v>13</v>
      </c>
      <c r="E27" s="7">
        <v>44701</v>
      </c>
      <c r="F27" t="s">
        <v>9</v>
      </c>
      <c r="G27" s="30">
        <v>48530</v>
      </c>
      <c r="H27" t="s">
        <v>206</v>
      </c>
      <c r="I27" s="6">
        <f ca="1">IF(Staff[[#This Row],[Tenure]]&gt;=2,Staff[[#This Row],[Salary]]*0.03,Staff[[#This Row],[Salary]]*0.02)</f>
        <v>1455.8999999999999</v>
      </c>
      <c r="J27" s="9">
        <f ca="1">(TODAY()-Staff[[#This Row],[Date Joined]])/365</f>
        <v>3.8465753424657536</v>
      </c>
      <c r="K27" s="6">
        <f ca="1">Staff[[#This Row],[Salary]]+Staff[[#This Row],[Bonus]]</f>
        <v>49985.9</v>
      </c>
      <c r="N27" s="14" t="s">
        <v>212</v>
      </c>
      <c r="O27" s="16">
        <f ca="1"/>
        <v>3463.2</v>
      </c>
    </row>
    <row r="28" spans="1:15" x14ac:dyDescent="0.3">
      <c r="A28" t="s">
        <v>113</v>
      </c>
      <c r="B28" t="s">
        <v>15</v>
      </c>
      <c r="C28">
        <v>31</v>
      </c>
      <c r="D28" t="s">
        <v>16</v>
      </c>
      <c r="E28" s="7">
        <v>44450</v>
      </c>
      <c r="F28" t="s">
        <v>12</v>
      </c>
      <c r="G28" s="30">
        <v>48950</v>
      </c>
      <c r="H28" t="s">
        <v>204</v>
      </c>
      <c r="I28" s="6">
        <f ca="1">IF(Staff[[#This Row],[Tenure]]&gt;=2,Staff[[#This Row],[Salary]]*0.03,Staff[[#This Row],[Salary]]*0.02)</f>
        <v>1468.5</v>
      </c>
      <c r="J28" s="9">
        <f ca="1">(TODAY()-Staff[[#This Row],[Date Joined]])/365</f>
        <v>4.5342465753424657</v>
      </c>
      <c r="K28" s="6">
        <f ca="1">Staff[[#This Row],[Salary]]+Staff[[#This Row],[Bonus]]</f>
        <v>50418.5</v>
      </c>
      <c r="O28">
        <f ca="1"/>
        <v>5.5342465753424657</v>
      </c>
    </row>
    <row r="29" spans="1:15" x14ac:dyDescent="0.3">
      <c r="A29" t="s">
        <v>14</v>
      </c>
      <c r="B29" t="s">
        <v>15</v>
      </c>
      <c r="C29">
        <v>31</v>
      </c>
      <c r="D29" t="s">
        <v>16</v>
      </c>
      <c r="E29" s="7">
        <v>44511</v>
      </c>
      <c r="F29" t="s">
        <v>12</v>
      </c>
      <c r="G29" s="30">
        <v>48950</v>
      </c>
      <c r="H29" t="s">
        <v>206</v>
      </c>
      <c r="I29" s="6">
        <f ca="1">IF(Staff[[#This Row],[Tenure]]&gt;=2,Staff[[#This Row],[Salary]]*0.03,Staff[[#This Row],[Salary]]*0.02)</f>
        <v>1468.5</v>
      </c>
      <c r="J29" s="9">
        <f ca="1">(TODAY()-Staff[[#This Row],[Date Joined]])/365</f>
        <v>4.3671232876712329</v>
      </c>
      <c r="K29" s="6">
        <f ca="1">Staff[[#This Row],[Salary]]+Staff[[#This Row],[Bonus]]</f>
        <v>50418.5</v>
      </c>
    </row>
    <row r="30" spans="1:15" x14ac:dyDescent="0.3">
      <c r="A30" t="s">
        <v>146</v>
      </c>
      <c r="B30" t="s">
        <v>15</v>
      </c>
      <c r="C30">
        <v>27</v>
      </c>
      <c r="D30" t="s">
        <v>16</v>
      </c>
      <c r="E30" s="7">
        <v>44506</v>
      </c>
      <c r="F30" t="s">
        <v>21</v>
      </c>
      <c r="G30" s="30">
        <v>48980</v>
      </c>
      <c r="H30" t="s">
        <v>204</v>
      </c>
      <c r="I30" s="6">
        <f ca="1">IF(Staff[[#This Row],[Tenure]]&gt;=2,Staff[[#This Row],[Salary]]*0.03,Staff[[#This Row],[Salary]]*0.02)</f>
        <v>1469.3999999999999</v>
      </c>
      <c r="J30" s="9">
        <f ca="1">(TODAY()-Staff[[#This Row],[Date Joined]])/365</f>
        <v>4.3808219178082188</v>
      </c>
      <c r="K30" s="6">
        <f ca="1">Staff[[#This Row],[Salary]]+Staff[[#This Row],[Bonus]]</f>
        <v>50449.4</v>
      </c>
    </row>
    <row r="31" spans="1:15" ht="21" x14ac:dyDescent="0.4">
      <c r="A31" t="s">
        <v>53</v>
      </c>
      <c r="B31" t="s">
        <v>15</v>
      </c>
      <c r="C31">
        <v>27</v>
      </c>
      <c r="D31" t="s">
        <v>16</v>
      </c>
      <c r="E31" s="7">
        <v>44567</v>
      </c>
      <c r="F31" t="s">
        <v>21</v>
      </c>
      <c r="G31" s="30">
        <v>48980</v>
      </c>
      <c r="H31" t="s">
        <v>206</v>
      </c>
      <c r="I31" s="6">
        <f ca="1">IF(Staff[[#This Row],[Tenure]]&gt;=2,Staff[[#This Row],[Salary]]*0.03,Staff[[#This Row],[Salary]]*0.02)</f>
        <v>1469.3999999999999</v>
      </c>
      <c r="J31" s="9">
        <f ca="1">(TODAY()-Staff[[#This Row],[Date Joined]])/365</f>
        <v>4.2136986301369861</v>
      </c>
      <c r="K31" s="6">
        <f ca="1">Staff[[#This Row],[Salary]]+Staff[[#This Row],[Bonus]]</f>
        <v>50449.4</v>
      </c>
      <c r="M31" s="20" t="s">
        <v>219</v>
      </c>
      <c r="N31" s="8" t="s">
        <v>0</v>
      </c>
      <c r="O31" s="18" t="str" cm="1">
        <f t="array" aca="1" ref="O31:O39" ca="1">TRANSPOSE(VLOOKUP(N17,A:J,{1,2,3,4,5,6,7,8,9},FALSE))</f>
        <v>Sahila Chandrasekhar</v>
      </c>
    </row>
    <row r="32" spans="1:15" x14ac:dyDescent="0.3">
      <c r="A32" t="s">
        <v>165</v>
      </c>
      <c r="B32" t="s">
        <v>8</v>
      </c>
      <c r="C32">
        <v>34</v>
      </c>
      <c r="D32" t="s">
        <v>24</v>
      </c>
      <c r="E32" s="7">
        <v>44660</v>
      </c>
      <c r="F32" t="s">
        <v>19</v>
      </c>
      <c r="G32" s="30">
        <v>49630</v>
      </c>
      <c r="H32" t="s">
        <v>204</v>
      </c>
      <c r="I32" s="6">
        <f ca="1">IF(Staff[[#This Row],[Tenure]]&gt;=2,Staff[[#This Row],[Salary]]*0.03,Staff[[#This Row],[Salary]]*0.02)</f>
        <v>1488.8999999999999</v>
      </c>
      <c r="J32" s="9">
        <f ca="1">(TODAY()-Staff[[#This Row],[Date Joined]])/365</f>
        <v>3.9589041095890409</v>
      </c>
      <c r="K32" s="6">
        <f ca="1">Staff[[#This Row],[Salary]]+Staff[[#This Row],[Bonus]]</f>
        <v>51118.9</v>
      </c>
      <c r="N32" s="8" t="s">
        <v>1</v>
      </c>
      <c r="O32" s="18" t="str">
        <f ca="1"/>
        <v>Other</v>
      </c>
    </row>
    <row r="33" spans="1:15" x14ac:dyDescent="0.3">
      <c r="A33" t="s">
        <v>73</v>
      </c>
      <c r="B33" t="s">
        <v>8</v>
      </c>
      <c r="C33">
        <v>34</v>
      </c>
      <c r="D33" t="s">
        <v>24</v>
      </c>
      <c r="E33" s="7">
        <v>44721</v>
      </c>
      <c r="F33" t="s">
        <v>19</v>
      </c>
      <c r="G33" s="30">
        <v>49630</v>
      </c>
      <c r="H33" t="s">
        <v>206</v>
      </c>
      <c r="I33" s="6">
        <f ca="1">IF(Staff[[#This Row],[Tenure]]&gt;=2,Staff[[#This Row],[Salary]]*0.03,Staff[[#This Row],[Salary]]*0.02)</f>
        <v>1488.8999999999999</v>
      </c>
      <c r="J33" s="9">
        <f ca="1">(TODAY()-Staff[[#This Row],[Date Joined]])/365</f>
        <v>3.7917808219178082</v>
      </c>
      <c r="K33" s="6">
        <f ca="1">Staff[[#This Row],[Salary]]+Staff[[#This Row],[Bonus]]</f>
        <v>51118.9</v>
      </c>
      <c r="N33" s="14" t="s">
        <v>3</v>
      </c>
      <c r="O33" s="16">
        <f ca="1"/>
        <v>37</v>
      </c>
    </row>
    <row r="34" spans="1:15" x14ac:dyDescent="0.3">
      <c r="A34" t="s">
        <v>155</v>
      </c>
      <c r="B34" t="s">
        <v>15</v>
      </c>
      <c r="C34">
        <v>24</v>
      </c>
      <c r="D34" t="s">
        <v>24</v>
      </c>
      <c r="E34" s="7">
        <v>44375</v>
      </c>
      <c r="F34" t="s">
        <v>21</v>
      </c>
      <c r="G34" s="30">
        <v>52610</v>
      </c>
      <c r="H34" t="s">
        <v>204</v>
      </c>
      <c r="I34" s="6">
        <f ca="1">IF(Staff[[#This Row],[Tenure]]&gt;=2,Staff[[#This Row],[Salary]]*0.03,Staff[[#This Row],[Salary]]*0.02)</f>
        <v>1578.3</v>
      </c>
      <c r="J34" s="9">
        <f ca="1">(TODAY()-Staff[[#This Row],[Date Joined]])/365</f>
        <v>4.7397260273972606</v>
      </c>
      <c r="K34" s="6">
        <f ca="1">Staff[[#This Row],[Salary]]+Staff[[#This Row],[Bonus]]</f>
        <v>54188.3</v>
      </c>
      <c r="N34" s="8" t="s">
        <v>6</v>
      </c>
      <c r="O34" s="18" t="str">
        <f ca="1"/>
        <v>Poor</v>
      </c>
    </row>
    <row r="35" spans="1:15" x14ac:dyDescent="0.3">
      <c r="A35" t="s">
        <v>63</v>
      </c>
      <c r="B35" t="s">
        <v>15</v>
      </c>
      <c r="C35">
        <v>24</v>
      </c>
      <c r="D35" t="s">
        <v>24</v>
      </c>
      <c r="E35" s="7">
        <v>44436</v>
      </c>
      <c r="F35" t="s">
        <v>21</v>
      </c>
      <c r="G35" s="30">
        <v>52610</v>
      </c>
      <c r="H35" t="s">
        <v>206</v>
      </c>
      <c r="I35" s="6">
        <f ca="1">IF(Staff[[#This Row],[Tenure]]&gt;=2,Staff[[#This Row],[Salary]]*0.03,Staff[[#This Row],[Salary]]*0.02)</f>
        <v>1578.3</v>
      </c>
      <c r="J35" s="9">
        <f ca="1">(TODAY()-Staff[[#This Row],[Date Joined]])/365</f>
        <v>4.5726027397260278</v>
      </c>
      <c r="K35" s="6">
        <f ca="1">Staff[[#This Row],[Salary]]+Staff[[#This Row],[Bonus]]</f>
        <v>54188.3</v>
      </c>
      <c r="N35" s="8" t="s">
        <v>4</v>
      </c>
      <c r="O35" s="15">
        <f ca="1"/>
        <v>44085</v>
      </c>
    </row>
    <row r="36" spans="1:15" x14ac:dyDescent="0.3">
      <c r="A36" t="s">
        <v>167</v>
      </c>
      <c r="B36" t="s">
        <v>8</v>
      </c>
      <c r="C36">
        <v>28</v>
      </c>
      <c r="D36" t="s">
        <v>16</v>
      </c>
      <c r="E36" s="7">
        <v>44296</v>
      </c>
      <c r="F36" t="s">
        <v>19</v>
      </c>
      <c r="G36" s="30">
        <v>53240</v>
      </c>
      <c r="H36" t="s">
        <v>204</v>
      </c>
      <c r="I36" s="6">
        <f ca="1">IF(Staff[[#This Row],[Tenure]]&gt;=2,Staff[[#This Row],[Salary]]*0.03,Staff[[#This Row],[Salary]]*0.02)</f>
        <v>1597.2</v>
      </c>
      <c r="J36" s="9">
        <f ca="1">(TODAY()-Staff[[#This Row],[Date Joined]])/365</f>
        <v>4.956164383561644</v>
      </c>
      <c r="K36" s="6">
        <f ca="1">Staff[[#This Row],[Salary]]+Staff[[#This Row],[Bonus]]</f>
        <v>54837.2</v>
      </c>
      <c r="N36" s="8" t="s">
        <v>2</v>
      </c>
      <c r="O36" s="18" t="str">
        <f ca="1"/>
        <v>Finance</v>
      </c>
    </row>
    <row r="37" spans="1:15" x14ac:dyDescent="0.3">
      <c r="A37" t="s">
        <v>75</v>
      </c>
      <c r="B37" t="s">
        <v>8</v>
      </c>
      <c r="C37">
        <v>28</v>
      </c>
      <c r="D37" t="s">
        <v>16</v>
      </c>
      <c r="E37" s="7">
        <v>44357</v>
      </c>
      <c r="F37" t="s">
        <v>19</v>
      </c>
      <c r="G37" s="30">
        <v>53240</v>
      </c>
      <c r="H37" t="s">
        <v>206</v>
      </c>
      <c r="I37" s="6">
        <f ca="1">IF(Staff[[#This Row],[Tenure]]&gt;=2,Staff[[#This Row],[Salary]]*0.03,Staff[[#This Row],[Salary]]*0.02)</f>
        <v>1597.2</v>
      </c>
      <c r="J37" s="9">
        <f ca="1">(TODAY()-Staff[[#This Row],[Date Joined]])/365</f>
        <v>4.7890410958904113</v>
      </c>
      <c r="K37" s="6">
        <f ca="1">Staff[[#This Row],[Salary]]+Staff[[#This Row],[Bonus]]</f>
        <v>54837.2</v>
      </c>
      <c r="N37" s="8" t="s">
        <v>5</v>
      </c>
      <c r="O37" s="17">
        <f ca="1"/>
        <v>115440</v>
      </c>
    </row>
    <row r="38" spans="1:15" x14ac:dyDescent="0.3">
      <c r="A38" t="s">
        <v>157</v>
      </c>
      <c r="B38" t="s">
        <v>15</v>
      </c>
      <c r="C38">
        <v>32</v>
      </c>
      <c r="D38" t="s">
        <v>16</v>
      </c>
      <c r="E38" s="7">
        <v>44403</v>
      </c>
      <c r="F38" t="s">
        <v>19</v>
      </c>
      <c r="G38" s="30">
        <v>53540</v>
      </c>
      <c r="H38" t="s">
        <v>204</v>
      </c>
      <c r="I38" s="6">
        <f ca="1">IF(Staff[[#This Row],[Tenure]]&gt;=2,Staff[[#This Row],[Salary]]*0.03,Staff[[#This Row],[Salary]]*0.02)</f>
        <v>1606.2</v>
      </c>
      <c r="J38" s="9">
        <f ca="1">(TODAY()-Staff[[#This Row],[Date Joined]])/365</f>
        <v>4.6630136986301371</v>
      </c>
      <c r="K38" s="6">
        <f ca="1">Staff[[#This Row],[Salary]]+Staff[[#This Row],[Bonus]]</f>
        <v>55146.2</v>
      </c>
      <c r="N38" s="8" t="s">
        <v>203</v>
      </c>
      <c r="O38" s="18" t="str">
        <f ca="1"/>
        <v>Ind</v>
      </c>
    </row>
    <row r="39" spans="1:15" x14ac:dyDescent="0.3">
      <c r="A39" t="s">
        <v>139</v>
      </c>
      <c r="B39" t="s">
        <v>15</v>
      </c>
      <c r="C39">
        <v>26</v>
      </c>
      <c r="D39" t="s">
        <v>16</v>
      </c>
      <c r="E39" s="7">
        <v>44350</v>
      </c>
      <c r="F39" t="s">
        <v>9</v>
      </c>
      <c r="G39" s="30">
        <v>53540</v>
      </c>
      <c r="H39" t="s">
        <v>204</v>
      </c>
      <c r="I39" s="6">
        <f ca="1">IF(Staff[[#This Row],[Tenure]]&gt;=2,Staff[[#This Row],[Salary]]*0.03,Staff[[#This Row],[Salary]]*0.02)</f>
        <v>1606.2</v>
      </c>
      <c r="J39" s="9">
        <f ca="1">(TODAY()-Staff[[#This Row],[Date Joined]])/365</f>
        <v>4.8082191780821919</v>
      </c>
      <c r="K39" s="6">
        <f ca="1">Staff[[#This Row],[Salary]]+Staff[[#This Row],[Bonus]]</f>
        <v>55146.2</v>
      </c>
      <c r="N39" s="14" t="s">
        <v>212</v>
      </c>
      <c r="O39" s="16">
        <f ca="1"/>
        <v>3463.2</v>
      </c>
    </row>
    <row r="40" spans="1:15" x14ac:dyDescent="0.3">
      <c r="A40" t="s">
        <v>65</v>
      </c>
      <c r="B40" t="s">
        <v>15</v>
      </c>
      <c r="C40">
        <v>32</v>
      </c>
      <c r="D40" t="s">
        <v>16</v>
      </c>
      <c r="E40" s="7">
        <v>44465</v>
      </c>
      <c r="F40" t="s">
        <v>19</v>
      </c>
      <c r="G40" s="30">
        <v>53540</v>
      </c>
      <c r="H40" t="s">
        <v>206</v>
      </c>
      <c r="I40" s="6">
        <f ca="1">IF(Staff[[#This Row],[Tenure]]&gt;=2,Staff[[#This Row],[Salary]]*0.03,Staff[[#This Row],[Salary]]*0.02)</f>
        <v>1606.2</v>
      </c>
      <c r="J40" s="9">
        <f ca="1">(TODAY()-Staff[[#This Row],[Date Joined]])/365</f>
        <v>4.493150684931507</v>
      </c>
      <c r="K40" s="6">
        <f ca="1">Staff[[#This Row],[Salary]]+Staff[[#This Row],[Bonus]]</f>
        <v>55146.2</v>
      </c>
    </row>
    <row r="41" spans="1:15" x14ac:dyDescent="0.3">
      <c r="A41" t="s">
        <v>46</v>
      </c>
      <c r="B41" t="s">
        <v>15</v>
      </c>
      <c r="C41">
        <v>26</v>
      </c>
      <c r="D41" t="s">
        <v>16</v>
      </c>
      <c r="E41" s="7">
        <v>44411</v>
      </c>
      <c r="F41" t="s">
        <v>9</v>
      </c>
      <c r="G41" s="30">
        <v>53540</v>
      </c>
      <c r="H41" t="s">
        <v>206</v>
      </c>
      <c r="I41" s="6">
        <f ca="1">IF(Staff[[#This Row],[Tenure]]&gt;=2,Staff[[#This Row],[Salary]]*0.03,Staff[[#This Row],[Salary]]*0.02)</f>
        <v>1606.2</v>
      </c>
      <c r="J41" s="9">
        <f ca="1">(TODAY()-Staff[[#This Row],[Date Joined]])/365</f>
        <v>4.6410958904109592</v>
      </c>
      <c r="K41" s="6">
        <f ca="1">Staff[[#This Row],[Salary]]+Staff[[#This Row],[Bonus]]</f>
        <v>55146.2</v>
      </c>
    </row>
    <row r="42" spans="1:15" x14ac:dyDescent="0.3">
      <c r="A42" t="s">
        <v>174</v>
      </c>
      <c r="B42" t="s">
        <v>15</v>
      </c>
      <c r="C42">
        <v>33</v>
      </c>
      <c r="D42" t="s">
        <v>16</v>
      </c>
      <c r="E42" s="7">
        <v>44448</v>
      </c>
      <c r="F42" t="s">
        <v>12</v>
      </c>
      <c r="G42" s="30">
        <v>53870</v>
      </c>
      <c r="H42" t="s">
        <v>204</v>
      </c>
      <c r="I42" s="6">
        <f ca="1">IF(Staff[[#This Row],[Tenure]]&gt;=2,Staff[[#This Row],[Salary]]*0.03,Staff[[#This Row],[Salary]]*0.02)</f>
        <v>1616.1</v>
      </c>
      <c r="J42" s="9">
        <f ca="1">(TODAY()-Staff[[#This Row],[Date Joined]])/365</f>
        <v>4.5397260273972604</v>
      </c>
      <c r="K42" s="6">
        <f ca="1">Staff[[#This Row],[Salary]]+Staff[[#This Row],[Bonus]]</f>
        <v>55486.1</v>
      </c>
    </row>
    <row r="43" spans="1:15" x14ac:dyDescent="0.3">
      <c r="A43" t="s">
        <v>82</v>
      </c>
      <c r="B43" t="s">
        <v>15</v>
      </c>
      <c r="C43">
        <v>33</v>
      </c>
      <c r="D43" t="s">
        <v>16</v>
      </c>
      <c r="E43" s="7">
        <v>44509</v>
      </c>
      <c r="F43" t="s">
        <v>12</v>
      </c>
      <c r="G43" s="30">
        <v>53870</v>
      </c>
      <c r="H43" t="s">
        <v>206</v>
      </c>
      <c r="I43" s="6">
        <f ca="1">IF(Staff[[#This Row],[Tenure]]&gt;=2,Staff[[#This Row],[Salary]]*0.03,Staff[[#This Row],[Salary]]*0.02)</f>
        <v>1616.1</v>
      </c>
      <c r="J43" s="9">
        <f ca="1">(TODAY()-Staff[[#This Row],[Date Joined]])/365</f>
        <v>4.3726027397260276</v>
      </c>
      <c r="K43" s="6">
        <f ca="1">Staff[[#This Row],[Salary]]+Staff[[#This Row],[Bonus]]</f>
        <v>55486.1</v>
      </c>
    </row>
    <row r="44" spans="1:15" x14ac:dyDescent="0.3">
      <c r="A44" t="s">
        <v>182</v>
      </c>
      <c r="B44" t="s">
        <v>15</v>
      </c>
      <c r="C44">
        <v>27</v>
      </c>
      <c r="D44" t="s">
        <v>16</v>
      </c>
      <c r="E44" s="7">
        <v>44073</v>
      </c>
      <c r="F44" t="s">
        <v>19</v>
      </c>
      <c r="G44" s="30">
        <v>54970</v>
      </c>
      <c r="H44" t="s">
        <v>204</v>
      </c>
      <c r="I44" s="6">
        <f ca="1">IF(Staff[[#This Row],[Tenure]]&gt;=2,Staff[[#This Row],[Salary]]*0.03,Staff[[#This Row],[Salary]]*0.02)</f>
        <v>1649.1</v>
      </c>
      <c r="J44" s="9">
        <f ca="1">(TODAY()-Staff[[#This Row],[Date Joined]])/365</f>
        <v>5.5671232876712331</v>
      </c>
      <c r="K44" s="6">
        <f ca="1">Staff[[#This Row],[Salary]]+Staff[[#This Row],[Bonus]]</f>
        <v>56619.1</v>
      </c>
    </row>
    <row r="45" spans="1:15" x14ac:dyDescent="0.3">
      <c r="A45" t="s">
        <v>89</v>
      </c>
      <c r="B45" t="s">
        <v>15</v>
      </c>
      <c r="C45">
        <v>27</v>
      </c>
      <c r="D45" t="s">
        <v>16</v>
      </c>
      <c r="E45" s="7">
        <v>44134</v>
      </c>
      <c r="F45" t="s">
        <v>19</v>
      </c>
      <c r="G45" s="30">
        <v>54970</v>
      </c>
      <c r="H45" t="s">
        <v>206</v>
      </c>
      <c r="I45" s="6">
        <f ca="1">IF(Staff[[#This Row],[Tenure]]&gt;=2,Staff[[#This Row],[Salary]]*0.03,Staff[[#This Row],[Salary]]*0.02)</f>
        <v>1649.1</v>
      </c>
      <c r="J45" s="9">
        <f ca="1">(TODAY()-Staff[[#This Row],[Date Joined]])/365</f>
        <v>5.4</v>
      </c>
      <c r="K45" s="6">
        <f ca="1">Staff[[#This Row],[Salary]]+Staff[[#This Row],[Bonus]]</f>
        <v>56619.1</v>
      </c>
    </row>
    <row r="46" spans="1:15" x14ac:dyDescent="0.3">
      <c r="A46" t="s">
        <v>202</v>
      </c>
      <c r="B46" t="s">
        <v>8</v>
      </c>
      <c r="C46">
        <v>38</v>
      </c>
      <c r="D46" t="s">
        <v>13</v>
      </c>
      <c r="E46" s="7">
        <v>44268</v>
      </c>
      <c r="F46" t="s">
        <v>19</v>
      </c>
      <c r="G46" s="30">
        <v>56870</v>
      </c>
      <c r="H46" t="s">
        <v>204</v>
      </c>
      <c r="I46" s="6">
        <f ca="1">IF(Staff[[#This Row],[Tenure]]&gt;=2,Staff[[#This Row],[Salary]]*0.03,Staff[[#This Row],[Salary]]*0.02)</f>
        <v>1706.1</v>
      </c>
      <c r="J46" s="9">
        <f ca="1">(TODAY()-Staff[[#This Row],[Date Joined]])/365</f>
        <v>5.0328767123287674</v>
      </c>
      <c r="K46" s="6">
        <f ca="1">Staff[[#This Row],[Salary]]+Staff[[#This Row],[Bonus]]</f>
        <v>58576.1</v>
      </c>
    </row>
    <row r="47" spans="1:15" x14ac:dyDescent="0.3">
      <c r="A47" t="s">
        <v>109</v>
      </c>
      <c r="B47" t="s">
        <v>8</v>
      </c>
      <c r="C47">
        <v>38</v>
      </c>
      <c r="D47" t="s">
        <v>13</v>
      </c>
      <c r="E47" s="7">
        <v>44329</v>
      </c>
      <c r="F47" t="s">
        <v>19</v>
      </c>
      <c r="G47" s="30">
        <v>56870</v>
      </c>
      <c r="H47" t="s">
        <v>206</v>
      </c>
      <c r="I47" s="6">
        <f ca="1">IF(Staff[[#This Row],[Tenure]]&gt;=2,Staff[[#This Row],[Salary]]*0.03,Staff[[#This Row],[Salary]]*0.02)</f>
        <v>1706.1</v>
      </c>
      <c r="J47" s="9">
        <f ca="1">(TODAY()-Staff[[#This Row],[Date Joined]])/365</f>
        <v>4.8657534246575347</v>
      </c>
      <c r="K47" s="6">
        <f ca="1">Staff[[#This Row],[Salary]]+Staff[[#This Row],[Bonus]]</f>
        <v>58576.1</v>
      </c>
    </row>
    <row r="48" spans="1:15" x14ac:dyDescent="0.3">
      <c r="A48" t="s">
        <v>125</v>
      </c>
      <c r="B48" t="s">
        <v>15</v>
      </c>
      <c r="C48">
        <v>21</v>
      </c>
      <c r="D48" t="s">
        <v>16</v>
      </c>
      <c r="E48" s="7">
        <v>44701</v>
      </c>
      <c r="F48" t="s">
        <v>9</v>
      </c>
      <c r="G48" s="30">
        <v>57090</v>
      </c>
      <c r="H48" t="s">
        <v>204</v>
      </c>
      <c r="I48" s="6">
        <f ca="1">IF(Staff[[#This Row],[Tenure]]&gt;=2,Staff[[#This Row],[Salary]]*0.03,Staff[[#This Row],[Salary]]*0.02)</f>
        <v>1712.7</v>
      </c>
      <c r="J48" s="9">
        <f ca="1">(TODAY()-Staff[[#This Row],[Date Joined]])/365</f>
        <v>3.8465753424657536</v>
      </c>
      <c r="K48" s="6">
        <f ca="1">Staff[[#This Row],[Salary]]+Staff[[#This Row],[Bonus]]</f>
        <v>58802.7</v>
      </c>
    </row>
    <row r="49" spans="1:11" x14ac:dyDescent="0.3">
      <c r="A49" t="s">
        <v>31</v>
      </c>
      <c r="B49" t="s">
        <v>15</v>
      </c>
      <c r="C49">
        <v>21</v>
      </c>
      <c r="D49" t="s">
        <v>16</v>
      </c>
      <c r="E49" s="7">
        <v>44762</v>
      </c>
      <c r="F49" t="s">
        <v>9</v>
      </c>
      <c r="G49" s="30">
        <v>57090</v>
      </c>
      <c r="H49" t="s">
        <v>206</v>
      </c>
      <c r="I49" s="6">
        <f ca="1">IF(Staff[[#This Row],[Tenure]]&gt;=2,Staff[[#This Row],[Salary]]*0.03,Staff[[#This Row],[Salary]]*0.02)</f>
        <v>1712.7</v>
      </c>
      <c r="J49" s="9">
        <f ca="1">(TODAY()-Staff[[#This Row],[Date Joined]])/365</f>
        <v>3.6794520547945204</v>
      </c>
      <c r="K49" s="6">
        <f ca="1">Staff[[#This Row],[Salary]]+Staff[[#This Row],[Bonus]]</f>
        <v>58802.7</v>
      </c>
    </row>
    <row r="50" spans="1:11" x14ac:dyDescent="0.3">
      <c r="A50" t="s">
        <v>120</v>
      </c>
      <c r="B50" t="s">
        <v>8</v>
      </c>
      <c r="C50">
        <v>31</v>
      </c>
      <c r="D50" t="s">
        <v>16</v>
      </c>
      <c r="E50" s="7">
        <v>44604</v>
      </c>
      <c r="F50" t="s">
        <v>12</v>
      </c>
      <c r="G50" s="30">
        <v>58100</v>
      </c>
      <c r="H50" t="s">
        <v>204</v>
      </c>
      <c r="I50" s="6">
        <f ca="1">IF(Staff[[#This Row],[Tenure]]&gt;=2,Staff[[#This Row],[Salary]]*0.03,Staff[[#This Row],[Salary]]*0.02)</f>
        <v>1743</v>
      </c>
      <c r="J50" s="9">
        <f ca="1">(TODAY()-Staff[[#This Row],[Date Joined]])/365</f>
        <v>4.1123287671232873</v>
      </c>
      <c r="K50" s="6">
        <f ca="1">Staff[[#This Row],[Salary]]+Staff[[#This Row],[Bonus]]</f>
        <v>59843</v>
      </c>
    </row>
    <row r="51" spans="1:11" x14ac:dyDescent="0.3">
      <c r="A51" t="s">
        <v>26</v>
      </c>
      <c r="B51" t="s">
        <v>8</v>
      </c>
      <c r="C51">
        <v>31</v>
      </c>
      <c r="D51" t="s">
        <v>16</v>
      </c>
      <c r="E51" s="7">
        <v>44663</v>
      </c>
      <c r="F51" t="s">
        <v>12</v>
      </c>
      <c r="G51" s="30">
        <v>58100</v>
      </c>
      <c r="H51" t="s">
        <v>206</v>
      </c>
      <c r="I51" s="6">
        <f ca="1">IF(Staff[[#This Row],[Tenure]]&gt;=2,Staff[[#This Row],[Salary]]*0.03,Staff[[#This Row],[Salary]]*0.02)</f>
        <v>1743</v>
      </c>
      <c r="J51" s="9">
        <f ca="1">(TODAY()-Staff[[#This Row],[Date Joined]])/365</f>
        <v>3.9506849315068493</v>
      </c>
      <c r="K51" s="6">
        <f ca="1">Staff[[#This Row],[Salary]]+Staff[[#This Row],[Bonus]]</f>
        <v>59843</v>
      </c>
    </row>
    <row r="52" spans="1:11" x14ac:dyDescent="0.3">
      <c r="A52" t="s">
        <v>130</v>
      </c>
      <c r="B52" t="s">
        <v>8</v>
      </c>
      <c r="C52">
        <v>34</v>
      </c>
      <c r="D52" t="s">
        <v>16</v>
      </c>
      <c r="E52" s="7">
        <v>44594</v>
      </c>
      <c r="F52" t="s">
        <v>21</v>
      </c>
      <c r="G52" s="30">
        <v>58940</v>
      </c>
      <c r="H52" t="s">
        <v>204</v>
      </c>
      <c r="I52" s="6">
        <f ca="1">IF(Staff[[#This Row],[Tenure]]&gt;=2,Staff[[#This Row],[Salary]]*0.03,Staff[[#This Row],[Salary]]*0.02)</f>
        <v>1768.2</v>
      </c>
      <c r="J52" s="9">
        <f ca="1">(TODAY()-Staff[[#This Row],[Date Joined]])/365</f>
        <v>4.13972602739726</v>
      </c>
      <c r="K52" s="6">
        <f ca="1">Staff[[#This Row],[Salary]]+Staff[[#This Row],[Bonus]]</f>
        <v>60708.2</v>
      </c>
    </row>
    <row r="53" spans="1:11" x14ac:dyDescent="0.3">
      <c r="A53" t="s">
        <v>36</v>
      </c>
      <c r="B53" t="s">
        <v>8</v>
      </c>
      <c r="C53">
        <v>34</v>
      </c>
      <c r="D53" t="s">
        <v>16</v>
      </c>
      <c r="E53" s="7">
        <v>44653</v>
      </c>
      <c r="F53" t="s">
        <v>21</v>
      </c>
      <c r="G53" s="30">
        <v>58940</v>
      </c>
      <c r="H53" t="s">
        <v>206</v>
      </c>
      <c r="I53" s="6">
        <f ca="1">IF(Staff[[#This Row],[Tenure]]&gt;=2,Staff[[#This Row],[Salary]]*0.03,Staff[[#This Row],[Salary]]*0.02)</f>
        <v>1768.2</v>
      </c>
      <c r="J53" s="9">
        <f ca="1">(TODAY()-Staff[[#This Row],[Date Joined]])/365</f>
        <v>3.978082191780822</v>
      </c>
      <c r="K53" s="6">
        <f ca="1">Staff[[#This Row],[Salary]]+Staff[[#This Row],[Bonus]]</f>
        <v>60708.2</v>
      </c>
    </row>
    <row r="54" spans="1:11" x14ac:dyDescent="0.3">
      <c r="A54" t="s">
        <v>193</v>
      </c>
      <c r="B54" t="s">
        <v>15</v>
      </c>
      <c r="C54">
        <v>19</v>
      </c>
      <c r="D54" t="s">
        <v>16</v>
      </c>
      <c r="E54" s="7">
        <v>44218</v>
      </c>
      <c r="F54" t="s">
        <v>9</v>
      </c>
      <c r="G54" s="30">
        <v>58960</v>
      </c>
      <c r="H54" t="s">
        <v>204</v>
      </c>
      <c r="I54" s="6">
        <f ca="1">IF(Staff[[#This Row],[Tenure]]&gt;=2,Staff[[#This Row],[Salary]]*0.03,Staff[[#This Row],[Salary]]*0.02)</f>
        <v>1768.8</v>
      </c>
      <c r="J54" s="9">
        <f ca="1">(TODAY()-Staff[[#This Row],[Date Joined]])/365</f>
        <v>5.1698630136986301</v>
      </c>
      <c r="K54" s="6">
        <f ca="1">Staff[[#This Row],[Salary]]+Staff[[#This Row],[Bonus]]</f>
        <v>60728.800000000003</v>
      </c>
    </row>
    <row r="55" spans="1:11" x14ac:dyDescent="0.3">
      <c r="A55" t="s">
        <v>100</v>
      </c>
      <c r="B55" t="s">
        <v>15</v>
      </c>
      <c r="C55">
        <v>19</v>
      </c>
      <c r="D55" t="s">
        <v>16</v>
      </c>
      <c r="E55" s="7">
        <v>44277</v>
      </c>
      <c r="F55" t="s">
        <v>9</v>
      </c>
      <c r="G55" s="30">
        <v>58960</v>
      </c>
      <c r="H55" t="s">
        <v>206</v>
      </c>
      <c r="I55" s="6">
        <f ca="1">IF(Staff[[#This Row],[Tenure]]&gt;=2,Staff[[#This Row],[Salary]]*0.03,Staff[[#This Row],[Salary]]*0.02)</f>
        <v>1768.8</v>
      </c>
      <c r="J55" s="9">
        <f ca="1">(TODAY()-Staff[[#This Row],[Date Joined]])/365</f>
        <v>5.0082191780821921</v>
      </c>
      <c r="K55" s="6">
        <f ca="1">Staff[[#This Row],[Salary]]+Staff[[#This Row],[Bonus]]</f>
        <v>60728.800000000003</v>
      </c>
    </row>
    <row r="56" spans="1:11" x14ac:dyDescent="0.3">
      <c r="A56" t="s">
        <v>171</v>
      </c>
      <c r="B56" t="s">
        <v>15</v>
      </c>
      <c r="C56">
        <v>33</v>
      </c>
      <c r="D56" t="s">
        <v>16</v>
      </c>
      <c r="E56" s="7">
        <v>44181</v>
      </c>
      <c r="F56" t="s">
        <v>21</v>
      </c>
      <c r="G56" s="30">
        <v>59430</v>
      </c>
      <c r="H56" t="s">
        <v>204</v>
      </c>
      <c r="I56" s="6">
        <f ca="1">IF(Staff[[#This Row],[Tenure]]&gt;=2,Staff[[#This Row],[Salary]]*0.03,Staff[[#This Row],[Salary]]*0.02)</f>
        <v>1782.8999999999999</v>
      </c>
      <c r="J56" s="9">
        <f ca="1">(TODAY()-Staff[[#This Row],[Date Joined]])/365</f>
        <v>5.2712328767123289</v>
      </c>
      <c r="K56" s="6">
        <f ca="1">Staff[[#This Row],[Salary]]+Staff[[#This Row],[Bonus]]</f>
        <v>61212.9</v>
      </c>
    </row>
    <row r="57" spans="1:11" x14ac:dyDescent="0.3">
      <c r="A57" t="s">
        <v>79</v>
      </c>
      <c r="B57" t="s">
        <v>15</v>
      </c>
      <c r="C57">
        <v>33</v>
      </c>
      <c r="D57" t="s">
        <v>16</v>
      </c>
      <c r="E57" s="7">
        <v>44243</v>
      </c>
      <c r="F57" t="s">
        <v>21</v>
      </c>
      <c r="G57" s="30">
        <v>59430</v>
      </c>
      <c r="H57" t="s">
        <v>206</v>
      </c>
      <c r="I57" s="6">
        <f ca="1">IF(Staff[[#This Row],[Tenure]]&gt;=2,Staff[[#This Row],[Salary]]*0.03,Staff[[#This Row],[Salary]]*0.02)</f>
        <v>1782.8999999999999</v>
      </c>
      <c r="J57" s="9">
        <f ca="1">(TODAY()-Staff[[#This Row],[Date Joined]])/365</f>
        <v>5.1013698630136988</v>
      </c>
      <c r="K57" s="6">
        <f ca="1">Staff[[#This Row],[Salary]]+Staff[[#This Row],[Bonus]]</f>
        <v>61212.9</v>
      </c>
    </row>
    <row r="58" spans="1:11" x14ac:dyDescent="0.3">
      <c r="A58" t="s">
        <v>132</v>
      </c>
      <c r="B58" t="s">
        <v>8</v>
      </c>
      <c r="C58">
        <v>34</v>
      </c>
      <c r="D58" t="s">
        <v>16</v>
      </c>
      <c r="E58" s="7">
        <v>44550</v>
      </c>
      <c r="F58" t="s">
        <v>21</v>
      </c>
      <c r="G58" s="30">
        <v>60130</v>
      </c>
      <c r="H58" t="s">
        <v>204</v>
      </c>
      <c r="I58" s="6">
        <f ca="1">IF(Staff[[#This Row],[Tenure]]&gt;=2,Staff[[#This Row],[Salary]]*0.03,Staff[[#This Row],[Salary]]*0.02)</f>
        <v>1803.8999999999999</v>
      </c>
      <c r="J58" s="9">
        <f ca="1">(TODAY()-Staff[[#This Row],[Date Joined]])/365</f>
        <v>4.2602739726027394</v>
      </c>
      <c r="K58" s="6">
        <f ca="1">Staff[[#This Row],[Salary]]+Staff[[#This Row],[Bonus]]</f>
        <v>61933.9</v>
      </c>
    </row>
    <row r="59" spans="1:11" x14ac:dyDescent="0.3">
      <c r="A59" t="s">
        <v>38</v>
      </c>
      <c r="B59" t="s">
        <v>8</v>
      </c>
      <c r="C59">
        <v>34</v>
      </c>
      <c r="D59" t="s">
        <v>16</v>
      </c>
      <c r="E59" s="7">
        <v>44612</v>
      </c>
      <c r="F59" t="s">
        <v>21</v>
      </c>
      <c r="G59" s="30">
        <v>60130</v>
      </c>
      <c r="H59" t="s">
        <v>206</v>
      </c>
      <c r="I59" s="6">
        <f ca="1">IF(Staff[[#This Row],[Tenure]]&gt;=2,Staff[[#This Row],[Salary]]*0.03,Staff[[#This Row],[Salary]]*0.02)</f>
        <v>1803.8999999999999</v>
      </c>
      <c r="J59" s="9">
        <f ca="1">(TODAY()-Staff[[#This Row],[Date Joined]])/365</f>
        <v>4.0904109589041093</v>
      </c>
      <c r="K59" s="6">
        <f ca="1">Staff[[#This Row],[Salary]]+Staff[[#This Row],[Bonus]]</f>
        <v>61933.9</v>
      </c>
    </row>
    <row r="60" spans="1:11" x14ac:dyDescent="0.3">
      <c r="A60" t="s">
        <v>131</v>
      </c>
      <c r="B60" t="s">
        <v>15</v>
      </c>
      <c r="C60">
        <v>30</v>
      </c>
      <c r="D60" t="s">
        <v>16</v>
      </c>
      <c r="E60" s="7">
        <v>44607</v>
      </c>
      <c r="F60" t="s">
        <v>9</v>
      </c>
      <c r="G60" s="30">
        <v>60570</v>
      </c>
      <c r="H60" t="s">
        <v>204</v>
      </c>
      <c r="I60" s="6">
        <f ca="1">IF(Staff[[#This Row],[Tenure]]&gt;=2,Staff[[#This Row],[Salary]]*0.03,Staff[[#This Row],[Salary]]*0.02)</f>
        <v>1817.1</v>
      </c>
      <c r="J60" s="9">
        <f ca="1">(TODAY()-Staff[[#This Row],[Date Joined]])/365</f>
        <v>4.1041095890410961</v>
      </c>
      <c r="K60" s="6">
        <f ca="1">Staff[[#This Row],[Salary]]+Staff[[#This Row],[Bonus]]</f>
        <v>62387.1</v>
      </c>
    </row>
    <row r="61" spans="1:11" x14ac:dyDescent="0.3">
      <c r="A61" t="s">
        <v>37</v>
      </c>
      <c r="B61" t="s">
        <v>15</v>
      </c>
      <c r="C61">
        <v>30</v>
      </c>
      <c r="D61" t="s">
        <v>16</v>
      </c>
      <c r="E61" s="7">
        <v>44666</v>
      </c>
      <c r="F61" t="s">
        <v>9</v>
      </c>
      <c r="G61" s="30">
        <v>60570</v>
      </c>
      <c r="H61" t="s">
        <v>206</v>
      </c>
      <c r="I61" s="6">
        <f ca="1">IF(Staff[[#This Row],[Tenure]]&gt;=2,Staff[[#This Row],[Salary]]*0.03,Staff[[#This Row],[Salary]]*0.02)</f>
        <v>1817.1</v>
      </c>
      <c r="J61" s="9">
        <f ca="1">(TODAY()-Staff[[#This Row],[Date Joined]])/365</f>
        <v>3.9424657534246577</v>
      </c>
      <c r="K61" s="6">
        <f ca="1">Staff[[#This Row],[Salary]]+Staff[[#This Row],[Bonus]]</f>
        <v>62387.1</v>
      </c>
    </row>
    <row r="62" spans="1:11" x14ac:dyDescent="0.3">
      <c r="A62" t="s">
        <v>153</v>
      </c>
      <c r="B62" t="s">
        <v>8</v>
      </c>
      <c r="C62">
        <v>24</v>
      </c>
      <c r="D62" t="s">
        <v>16</v>
      </c>
      <c r="E62" s="7">
        <v>44087</v>
      </c>
      <c r="F62" t="s">
        <v>12</v>
      </c>
      <c r="G62" s="30">
        <v>62780</v>
      </c>
      <c r="H62" t="s">
        <v>204</v>
      </c>
      <c r="I62" s="6">
        <f ca="1">IF(Staff[[#This Row],[Tenure]]&gt;=2,Staff[[#This Row],[Salary]]*0.03,Staff[[#This Row],[Salary]]*0.02)</f>
        <v>1883.3999999999999</v>
      </c>
      <c r="J62" s="9">
        <f ca="1">(TODAY()-Staff[[#This Row],[Date Joined]])/365</f>
        <v>5.5287671232876709</v>
      </c>
      <c r="K62" s="6">
        <f ca="1">Staff[[#This Row],[Salary]]+Staff[[#This Row],[Bonus]]</f>
        <v>64663.4</v>
      </c>
    </row>
    <row r="63" spans="1:11" x14ac:dyDescent="0.3">
      <c r="A63" t="s">
        <v>61</v>
      </c>
      <c r="B63" t="s">
        <v>8</v>
      </c>
      <c r="C63">
        <v>24</v>
      </c>
      <c r="D63" t="s">
        <v>16</v>
      </c>
      <c r="E63" s="7">
        <v>44148</v>
      </c>
      <c r="F63" t="s">
        <v>12</v>
      </c>
      <c r="G63" s="30">
        <v>62780</v>
      </c>
      <c r="H63" t="s">
        <v>206</v>
      </c>
      <c r="I63" s="6">
        <f ca="1">IF(Staff[[#This Row],[Tenure]]&gt;=2,Staff[[#This Row],[Salary]]*0.03,Staff[[#This Row],[Salary]]*0.02)</f>
        <v>1883.3999999999999</v>
      </c>
      <c r="J63" s="9">
        <f ca="1">(TODAY()-Staff[[#This Row],[Date Joined]])/365</f>
        <v>5.3616438356164382</v>
      </c>
      <c r="K63" s="6">
        <f ca="1">Staff[[#This Row],[Salary]]+Staff[[#This Row],[Bonus]]</f>
        <v>64663.4</v>
      </c>
    </row>
    <row r="64" spans="1:11" x14ac:dyDescent="0.3">
      <c r="A64" t="s">
        <v>116</v>
      </c>
      <c r="B64" t="s">
        <v>205</v>
      </c>
      <c r="C64">
        <v>30</v>
      </c>
      <c r="D64" t="s">
        <v>16</v>
      </c>
      <c r="E64" s="7">
        <v>44535</v>
      </c>
      <c r="F64" t="s">
        <v>21</v>
      </c>
      <c r="G64" s="30">
        <v>64000</v>
      </c>
      <c r="H64" t="s">
        <v>204</v>
      </c>
      <c r="I64" s="6">
        <f ca="1">IF(Staff[[#This Row],[Tenure]]&gt;=2,Staff[[#This Row],[Salary]]*0.03,Staff[[#This Row],[Salary]]*0.02)</f>
        <v>1920</v>
      </c>
      <c r="J64" s="9">
        <f ca="1">(TODAY()-Staff[[#This Row],[Date Joined]])/365</f>
        <v>4.3013698630136989</v>
      </c>
      <c r="K64" s="6">
        <f ca="1">Staff[[#This Row],[Salary]]+Staff[[#This Row],[Bonus]]</f>
        <v>65920</v>
      </c>
    </row>
    <row r="65" spans="1:11" x14ac:dyDescent="0.3">
      <c r="A65" t="s">
        <v>20</v>
      </c>
      <c r="B65" t="s">
        <v>205</v>
      </c>
      <c r="C65">
        <v>30</v>
      </c>
      <c r="D65" t="s">
        <v>16</v>
      </c>
      <c r="E65" s="7">
        <v>44597</v>
      </c>
      <c r="F65" t="s">
        <v>21</v>
      </c>
      <c r="G65" s="30">
        <v>64000</v>
      </c>
      <c r="H65" t="s">
        <v>206</v>
      </c>
      <c r="I65" s="6">
        <f ca="1">IF(Staff[[#This Row],[Tenure]]&gt;=2,Staff[[#This Row],[Salary]]*0.03,Staff[[#This Row],[Salary]]*0.02)</f>
        <v>1920</v>
      </c>
      <c r="J65" s="9">
        <f ca="1">(TODAY()-Staff[[#This Row],[Date Joined]])/365</f>
        <v>4.1315068493150688</v>
      </c>
      <c r="K65" s="6">
        <f ca="1">Staff[[#This Row],[Salary]]+Staff[[#This Row],[Bonus]]</f>
        <v>65920</v>
      </c>
    </row>
    <row r="66" spans="1:11" x14ac:dyDescent="0.3">
      <c r="A66" t="s">
        <v>186</v>
      </c>
      <c r="B66" t="s">
        <v>8</v>
      </c>
      <c r="C66">
        <v>33</v>
      </c>
      <c r="D66" t="s">
        <v>16</v>
      </c>
      <c r="E66" s="7">
        <v>44006</v>
      </c>
      <c r="F66" t="s">
        <v>21</v>
      </c>
      <c r="G66" s="30">
        <v>65360</v>
      </c>
      <c r="H66" t="s">
        <v>204</v>
      </c>
      <c r="I66" s="6">
        <f ca="1">IF(Staff[[#This Row],[Tenure]]&gt;=2,Staff[[#This Row],[Salary]]*0.03,Staff[[#This Row],[Salary]]*0.02)</f>
        <v>1960.8</v>
      </c>
      <c r="J66" s="9">
        <f ca="1">(TODAY()-Staff[[#This Row],[Date Joined]])/365</f>
        <v>5.7506849315068491</v>
      </c>
      <c r="K66" s="6">
        <f ca="1">Staff[[#This Row],[Salary]]+Staff[[#This Row],[Bonus]]</f>
        <v>67320.800000000003</v>
      </c>
    </row>
    <row r="67" spans="1:11" x14ac:dyDescent="0.3">
      <c r="A67" t="s">
        <v>93</v>
      </c>
      <c r="B67" t="s">
        <v>8</v>
      </c>
      <c r="C67">
        <v>33</v>
      </c>
      <c r="D67" t="s">
        <v>16</v>
      </c>
      <c r="E67" s="7">
        <v>44067</v>
      </c>
      <c r="F67" t="s">
        <v>21</v>
      </c>
      <c r="G67" s="30">
        <v>65360</v>
      </c>
      <c r="H67" t="s">
        <v>206</v>
      </c>
      <c r="I67" s="6">
        <f ca="1">IF(Staff[[#This Row],[Tenure]]&gt;=2,Staff[[#This Row],[Salary]]*0.03,Staff[[#This Row],[Salary]]*0.02)</f>
        <v>1960.8</v>
      </c>
      <c r="J67" s="9">
        <f ca="1">(TODAY()-Staff[[#This Row],[Date Joined]])/365</f>
        <v>5.5835616438356164</v>
      </c>
      <c r="K67" s="6">
        <f ca="1">Staff[[#This Row],[Salary]]+Staff[[#This Row],[Bonus]]</f>
        <v>67320.800000000003</v>
      </c>
    </row>
    <row r="68" spans="1:11" x14ac:dyDescent="0.3">
      <c r="A68" t="s">
        <v>168</v>
      </c>
      <c r="B68" t="s">
        <v>15</v>
      </c>
      <c r="C68">
        <v>25</v>
      </c>
      <c r="D68" t="s">
        <v>16</v>
      </c>
      <c r="E68" s="7">
        <v>44322</v>
      </c>
      <c r="F68" t="s">
        <v>19</v>
      </c>
      <c r="G68" s="30">
        <v>65700</v>
      </c>
      <c r="H68" t="s">
        <v>204</v>
      </c>
      <c r="I68" s="6">
        <f ca="1">IF(Staff[[#This Row],[Tenure]]&gt;=2,Staff[[#This Row],[Salary]]*0.03,Staff[[#This Row],[Salary]]*0.02)</f>
        <v>1971</v>
      </c>
      <c r="J68" s="9">
        <f ca="1">(TODAY()-Staff[[#This Row],[Date Joined]])/365</f>
        <v>4.8849315068493153</v>
      </c>
      <c r="K68" s="6">
        <f ca="1">Staff[[#This Row],[Salary]]+Staff[[#This Row],[Bonus]]</f>
        <v>67671</v>
      </c>
    </row>
    <row r="69" spans="1:11" x14ac:dyDescent="0.3">
      <c r="A69" t="s">
        <v>76</v>
      </c>
      <c r="B69" t="s">
        <v>15</v>
      </c>
      <c r="C69">
        <v>25</v>
      </c>
      <c r="D69" t="s">
        <v>16</v>
      </c>
      <c r="E69" s="7">
        <v>44383</v>
      </c>
      <c r="F69" t="s">
        <v>19</v>
      </c>
      <c r="G69" s="30">
        <v>65700</v>
      </c>
      <c r="H69" t="s">
        <v>206</v>
      </c>
      <c r="I69" s="6">
        <f ca="1">IF(Staff[[#This Row],[Tenure]]&gt;=2,Staff[[#This Row],[Salary]]*0.03,Staff[[#This Row],[Salary]]*0.02)</f>
        <v>1971</v>
      </c>
      <c r="J69" s="9">
        <f ca="1">(TODAY()-Staff[[#This Row],[Date Joined]])/365</f>
        <v>4.7178082191780826</v>
      </c>
      <c r="K69" s="6">
        <f ca="1">Staff[[#This Row],[Salary]]+Staff[[#This Row],[Bonus]]</f>
        <v>67671</v>
      </c>
    </row>
    <row r="70" spans="1:11" x14ac:dyDescent="0.3">
      <c r="A70" t="s">
        <v>126</v>
      </c>
      <c r="B70" t="s">
        <v>8</v>
      </c>
      <c r="C70">
        <v>21</v>
      </c>
      <c r="D70" t="s">
        <v>16</v>
      </c>
      <c r="E70" s="7">
        <v>44256</v>
      </c>
      <c r="F70" t="s">
        <v>21</v>
      </c>
      <c r="G70" s="30">
        <v>65920</v>
      </c>
      <c r="H70" t="s">
        <v>204</v>
      </c>
      <c r="I70" s="6">
        <f ca="1">IF(Staff[[#This Row],[Tenure]]&gt;=2,Staff[[#This Row],[Salary]]*0.03,Staff[[#This Row],[Salary]]*0.02)</f>
        <v>1977.6</v>
      </c>
      <c r="J70" s="9">
        <f ca="1">(TODAY()-Staff[[#This Row],[Date Joined]])/365</f>
        <v>5.065753424657534</v>
      </c>
      <c r="K70" s="6">
        <f ca="1">Staff[[#This Row],[Salary]]+Staff[[#This Row],[Bonus]]</f>
        <v>67897.600000000006</v>
      </c>
    </row>
    <row r="71" spans="1:11" x14ac:dyDescent="0.3">
      <c r="A71" t="s">
        <v>32</v>
      </c>
      <c r="B71" t="s">
        <v>8</v>
      </c>
      <c r="C71">
        <v>21</v>
      </c>
      <c r="D71" t="s">
        <v>16</v>
      </c>
      <c r="E71" s="7">
        <v>44317</v>
      </c>
      <c r="F71" t="s">
        <v>21</v>
      </c>
      <c r="G71" s="30">
        <v>65920</v>
      </c>
      <c r="H71" t="s">
        <v>206</v>
      </c>
      <c r="I71" s="6">
        <f ca="1">IF(Staff[[#This Row],[Tenure]]&gt;=2,Staff[[#This Row],[Salary]]*0.03,Staff[[#This Row],[Salary]]*0.02)</f>
        <v>1977.6</v>
      </c>
      <c r="J71" s="9">
        <f ca="1">(TODAY()-Staff[[#This Row],[Date Joined]])/365</f>
        <v>4.8986301369863012</v>
      </c>
      <c r="K71" s="6">
        <f ca="1">Staff[[#This Row],[Salary]]+Staff[[#This Row],[Bonus]]</f>
        <v>67897.600000000006</v>
      </c>
    </row>
    <row r="72" spans="1:11" x14ac:dyDescent="0.3">
      <c r="A72" t="s">
        <v>121</v>
      </c>
      <c r="B72" t="s">
        <v>8</v>
      </c>
      <c r="C72">
        <v>30</v>
      </c>
      <c r="D72" t="s">
        <v>24</v>
      </c>
      <c r="E72" s="7">
        <v>44328</v>
      </c>
      <c r="F72" t="s">
        <v>21</v>
      </c>
      <c r="G72" s="30">
        <v>67910</v>
      </c>
      <c r="H72" t="s">
        <v>204</v>
      </c>
      <c r="I72" s="6">
        <f ca="1">IF(Staff[[#This Row],[Tenure]]&gt;=2,Staff[[#This Row],[Salary]]*0.03,Staff[[#This Row],[Salary]]*0.02)</f>
        <v>2037.3</v>
      </c>
      <c r="J72" s="9">
        <f ca="1">(TODAY()-Staff[[#This Row],[Date Joined]])/365</f>
        <v>4.8684931506849312</v>
      </c>
      <c r="K72" s="6">
        <f ca="1">Staff[[#This Row],[Salary]]+Staff[[#This Row],[Bonus]]</f>
        <v>69947.3</v>
      </c>
    </row>
    <row r="73" spans="1:11" x14ac:dyDescent="0.3">
      <c r="A73" t="s">
        <v>27</v>
      </c>
      <c r="B73" t="s">
        <v>8</v>
      </c>
      <c r="C73">
        <v>30</v>
      </c>
      <c r="D73" t="s">
        <v>24</v>
      </c>
      <c r="E73" s="7">
        <v>44389</v>
      </c>
      <c r="F73" t="s">
        <v>21</v>
      </c>
      <c r="G73" s="30">
        <v>67910</v>
      </c>
      <c r="H73" t="s">
        <v>206</v>
      </c>
      <c r="I73" s="6">
        <f ca="1">IF(Staff[[#This Row],[Tenure]]&gt;=2,Staff[[#This Row],[Salary]]*0.03,Staff[[#This Row],[Salary]]*0.02)</f>
        <v>2037.3</v>
      </c>
      <c r="J73" s="9">
        <f ca="1">(TODAY()-Staff[[#This Row],[Date Joined]])/365</f>
        <v>4.7013698630136984</v>
      </c>
      <c r="K73" s="6">
        <f ca="1">Staff[[#This Row],[Salary]]+Staff[[#This Row],[Bonus]]</f>
        <v>69947.3</v>
      </c>
    </row>
    <row r="74" spans="1:11" x14ac:dyDescent="0.3">
      <c r="A74" t="s">
        <v>138</v>
      </c>
      <c r="B74" t="s">
        <v>15</v>
      </c>
      <c r="C74">
        <v>30</v>
      </c>
      <c r="D74" t="s">
        <v>16</v>
      </c>
      <c r="E74" s="7">
        <v>44640</v>
      </c>
      <c r="F74" t="s">
        <v>9</v>
      </c>
      <c r="G74" s="30">
        <v>67950</v>
      </c>
      <c r="H74" t="s">
        <v>204</v>
      </c>
      <c r="I74" s="6">
        <f ca="1">IF(Staff[[#This Row],[Tenure]]&gt;=2,Staff[[#This Row],[Salary]]*0.03,Staff[[#This Row],[Salary]]*0.02)</f>
        <v>2038.5</v>
      </c>
      <c r="J74" s="9">
        <f ca="1">(TODAY()-Staff[[#This Row],[Date Joined]])/365</f>
        <v>4.0136986301369859</v>
      </c>
      <c r="K74" s="6">
        <f ca="1">Staff[[#This Row],[Salary]]+Staff[[#This Row],[Bonus]]</f>
        <v>69988.5</v>
      </c>
    </row>
    <row r="75" spans="1:11" x14ac:dyDescent="0.3">
      <c r="A75" t="s">
        <v>45</v>
      </c>
      <c r="B75" t="s">
        <v>15</v>
      </c>
      <c r="C75">
        <v>30</v>
      </c>
      <c r="D75" t="s">
        <v>16</v>
      </c>
      <c r="E75" s="7">
        <v>44701</v>
      </c>
      <c r="F75" t="s">
        <v>9</v>
      </c>
      <c r="G75" s="30">
        <v>67950</v>
      </c>
      <c r="H75" t="s">
        <v>206</v>
      </c>
      <c r="I75" s="6">
        <f ca="1">IF(Staff[[#This Row],[Tenure]]&gt;=2,Staff[[#This Row],[Salary]]*0.03,Staff[[#This Row],[Salary]]*0.02)</f>
        <v>2038.5</v>
      </c>
      <c r="J75" s="9">
        <f ca="1">(TODAY()-Staff[[#This Row],[Date Joined]])/365</f>
        <v>3.8465753424657536</v>
      </c>
      <c r="K75" s="6">
        <f ca="1">Staff[[#This Row],[Salary]]+Staff[[#This Row],[Bonus]]</f>
        <v>69988.5</v>
      </c>
    </row>
    <row r="76" spans="1:11" x14ac:dyDescent="0.3">
      <c r="A76" t="s">
        <v>184</v>
      </c>
      <c r="B76" t="s">
        <v>8</v>
      </c>
      <c r="C76">
        <v>20</v>
      </c>
      <c r="D76" t="s">
        <v>24</v>
      </c>
      <c r="E76" s="7">
        <v>44476</v>
      </c>
      <c r="F76" t="s">
        <v>19</v>
      </c>
      <c r="G76" s="30">
        <v>68900</v>
      </c>
      <c r="H76" t="s">
        <v>204</v>
      </c>
      <c r="I76" s="6">
        <f ca="1">IF(Staff[[#This Row],[Tenure]]&gt;=2,Staff[[#This Row],[Salary]]*0.03,Staff[[#This Row],[Salary]]*0.02)</f>
        <v>2067</v>
      </c>
      <c r="J76" s="9">
        <f ca="1">(TODAY()-Staff[[#This Row],[Date Joined]])/365</f>
        <v>4.463013698630137</v>
      </c>
      <c r="K76" s="6">
        <f ca="1">Staff[[#This Row],[Salary]]+Staff[[#This Row],[Bonus]]</f>
        <v>70967</v>
      </c>
    </row>
    <row r="77" spans="1:11" x14ac:dyDescent="0.3">
      <c r="A77" t="s">
        <v>91</v>
      </c>
      <c r="B77" t="s">
        <v>8</v>
      </c>
      <c r="C77">
        <v>20</v>
      </c>
      <c r="D77" t="s">
        <v>24</v>
      </c>
      <c r="E77" s="7">
        <v>44537</v>
      </c>
      <c r="F77" t="s">
        <v>19</v>
      </c>
      <c r="G77" s="30">
        <v>68900</v>
      </c>
      <c r="H77" t="s">
        <v>206</v>
      </c>
      <c r="I77" s="6">
        <f ca="1">IF(Staff[[#This Row],[Tenure]]&gt;=2,Staff[[#This Row],[Salary]]*0.03,Staff[[#This Row],[Salary]]*0.02)</f>
        <v>2067</v>
      </c>
      <c r="J77" s="9">
        <f ca="1">(TODAY()-Staff[[#This Row],[Date Joined]])/365</f>
        <v>4.2958904109589042</v>
      </c>
      <c r="K77" s="6">
        <f ca="1">Staff[[#This Row],[Salary]]+Staff[[#This Row],[Bonus]]</f>
        <v>70967</v>
      </c>
    </row>
    <row r="78" spans="1:11" x14ac:dyDescent="0.3">
      <c r="A78" t="s">
        <v>190</v>
      </c>
      <c r="B78" t="s">
        <v>15</v>
      </c>
      <c r="C78">
        <v>37</v>
      </c>
      <c r="D78" t="s">
        <v>16</v>
      </c>
      <c r="E78" s="7">
        <v>44640</v>
      </c>
      <c r="F78" t="s">
        <v>12</v>
      </c>
      <c r="G78" s="30">
        <v>69070</v>
      </c>
      <c r="H78" t="s">
        <v>204</v>
      </c>
      <c r="I78" s="6">
        <f ca="1">IF(Staff[[#This Row],[Tenure]]&gt;=2,Staff[[#This Row],[Salary]]*0.03,Staff[[#This Row],[Salary]]*0.02)</f>
        <v>2072.1</v>
      </c>
      <c r="J78" s="9">
        <f ca="1">(TODAY()-Staff[[#This Row],[Date Joined]])/365</f>
        <v>4.0136986301369859</v>
      </c>
      <c r="K78" s="6">
        <f ca="1">Staff[[#This Row],[Salary]]+Staff[[#This Row],[Bonus]]</f>
        <v>71142.100000000006</v>
      </c>
    </row>
    <row r="79" spans="1:11" x14ac:dyDescent="0.3">
      <c r="A79" t="s">
        <v>97</v>
      </c>
      <c r="B79" t="s">
        <v>15</v>
      </c>
      <c r="C79">
        <v>37</v>
      </c>
      <c r="D79" t="s">
        <v>16</v>
      </c>
      <c r="E79" s="7">
        <v>44701</v>
      </c>
      <c r="F79" t="s">
        <v>12</v>
      </c>
      <c r="G79" s="30">
        <v>69070</v>
      </c>
      <c r="H79" t="s">
        <v>206</v>
      </c>
      <c r="I79" s="6">
        <f ca="1">IF(Staff[[#This Row],[Tenure]]&gt;=2,Staff[[#This Row],[Salary]]*0.03,Staff[[#This Row],[Salary]]*0.02)</f>
        <v>2072.1</v>
      </c>
      <c r="J79" s="9">
        <f ca="1">(TODAY()-Staff[[#This Row],[Date Joined]])/365</f>
        <v>3.8465753424657536</v>
      </c>
      <c r="K79" s="6">
        <f ca="1">Staff[[#This Row],[Salary]]+Staff[[#This Row],[Bonus]]</f>
        <v>71142.100000000006</v>
      </c>
    </row>
    <row r="80" spans="1:11" x14ac:dyDescent="0.3">
      <c r="A80" t="s">
        <v>119</v>
      </c>
      <c r="B80" t="s">
        <v>15</v>
      </c>
      <c r="C80">
        <v>30</v>
      </c>
      <c r="D80" t="s">
        <v>16</v>
      </c>
      <c r="E80" s="7">
        <v>44214</v>
      </c>
      <c r="F80" t="s">
        <v>12</v>
      </c>
      <c r="G80" s="30">
        <v>69120</v>
      </c>
      <c r="H80" t="s">
        <v>204</v>
      </c>
      <c r="I80" s="6">
        <f ca="1">IF(Staff[[#This Row],[Tenure]]&gt;=2,Staff[[#This Row],[Salary]]*0.03,Staff[[#This Row],[Salary]]*0.02)</f>
        <v>2073.6</v>
      </c>
      <c r="J80" s="9">
        <f ca="1">(TODAY()-Staff[[#This Row],[Date Joined]])/365</f>
        <v>5.1808219178082195</v>
      </c>
      <c r="K80" s="6">
        <f ca="1">Staff[[#This Row],[Salary]]+Staff[[#This Row],[Bonus]]</f>
        <v>71193.600000000006</v>
      </c>
    </row>
    <row r="81" spans="1:11" x14ac:dyDescent="0.3">
      <c r="A81" t="s">
        <v>25</v>
      </c>
      <c r="B81" t="s">
        <v>15</v>
      </c>
      <c r="C81">
        <v>30</v>
      </c>
      <c r="D81" t="s">
        <v>16</v>
      </c>
      <c r="E81" s="7">
        <v>44273</v>
      </c>
      <c r="F81" t="s">
        <v>12</v>
      </c>
      <c r="G81" s="30">
        <v>69120</v>
      </c>
      <c r="H81" t="s">
        <v>206</v>
      </c>
      <c r="I81" s="6">
        <f ca="1">IF(Staff[[#This Row],[Tenure]]&gt;=2,Staff[[#This Row],[Salary]]*0.03,Staff[[#This Row],[Salary]]*0.02)</f>
        <v>2073.6</v>
      </c>
      <c r="J81" s="9">
        <f ca="1">(TODAY()-Staff[[#This Row],[Date Joined]])/365</f>
        <v>5.0191780821917806</v>
      </c>
      <c r="K81" s="6">
        <f ca="1">Staff[[#This Row],[Salary]]+Staff[[#This Row],[Bonus]]</f>
        <v>71193.600000000006</v>
      </c>
    </row>
    <row r="82" spans="1:11" x14ac:dyDescent="0.3">
      <c r="A82" t="s">
        <v>159</v>
      </c>
      <c r="B82" t="s">
        <v>15</v>
      </c>
      <c r="C82">
        <v>30</v>
      </c>
      <c r="D82" t="s">
        <v>16</v>
      </c>
      <c r="E82" s="7">
        <v>44789</v>
      </c>
      <c r="F82" t="s">
        <v>12</v>
      </c>
      <c r="G82" s="30">
        <v>69710</v>
      </c>
      <c r="H82" t="s">
        <v>204</v>
      </c>
      <c r="I82" s="6">
        <f ca="1">IF(Staff[[#This Row],[Tenure]]&gt;=2,Staff[[#This Row],[Salary]]*0.03,Staff[[#This Row],[Salary]]*0.02)</f>
        <v>2091.2999999999997</v>
      </c>
      <c r="J82" s="9">
        <f ca="1">(TODAY()-Staff[[#This Row],[Date Joined]])/365</f>
        <v>3.6054794520547944</v>
      </c>
      <c r="K82" s="6">
        <f ca="1">Staff[[#This Row],[Salary]]+Staff[[#This Row],[Bonus]]</f>
        <v>71801.3</v>
      </c>
    </row>
    <row r="83" spans="1:11" x14ac:dyDescent="0.3">
      <c r="A83" t="s">
        <v>67</v>
      </c>
      <c r="B83" t="s">
        <v>15</v>
      </c>
      <c r="C83">
        <v>30</v>
      </c>
      <c r="D83" t="s">
        <v>16</v>
      </c>
      <c r="E83" s="7">
        <v>44850</v>
      </c>
      <c r="F83" t="s">
        <v>12</v>
      </c>
      <c r="G83" s="30">
        <v>69710</v>
      </c>
      <c r="H83" t="s">
        <v>206</v>
      </c>
      <c r="I83" s="6">
        <f ca="1">IF(Staff[[#This Row],[Tenure]]&gt;=2,Staff[[#This Row],[Salary]]*0.03,Staff[[#This Row],[Salary]]*0.02)</f>
        <v>2091.2999999999997</v>
      </c>
      <c r="J83" s="9">
        <f ca="1">(TODAY()-Staff[[#This Row],[Date Joined]])/365</f>
        <v>3.4383561643835616</v>
      </c>
      <c r="K83" s="6">
        <f ca="1">Staff[[#This Row],[Salary]]+Staff[[#This Row],[Bonus]]</f>
        <v>71801.3</v>
      </c>
    </row>
    <row r="84" spans="1:11" x14ac:dyDescent="0.3">
      <c r="A84" t="s">
        <v>183</v>
      </c>
      <c r="B84" t="s">
        <v>15</v>
      </c>
      <c r="C84">
        <v>42</v>
      </c>
      <c r="D84" t="s">
        <v>24</v>
      </c>
      <c r="E84" s="7">
        <v>44670</v>
      </c>
      <c r="F84" t="s">
        <v>21</v>
      </c>
      <c r="G84" s="30">
        <v>70270</v>
      </c>
      <c r="H84" t="s">
        <v>204</v>
      </c>
      <c r="I84" s="6">
        <f ca="1">IF(Staff[[#This Row],[Tenure]]&gt;=2,Staff[[#This Row],[Salary]]*0.03,Staff[[#This Row],[Salary]]*0.02)</f>
        <v>2108.1</v>
      </c>
      <c r="J84" s="9">
        <f ca="1">(TODAY()-Staff[[#This Row],[Date Joined]])/365</f>
        <v>3.9315068493150687</v>
      </c>
      <c r="K84" s="6">
        <f ca="1">Staff[[#This Row],[Salary]]+Staff[[#This Row],[Bonus]]</f>
        <v>72378.100000000006</v>
      </c>
    </row>
    <row r="85" spans="1:11" x14ac:dyDescent="0.3">
      <c r="A85" t="s">
        <v>90</v>
      </c>
      <c r="B85" t="s">
        <v>15</v>
      </c>
      <c r="C85">
        <v>42</v>
      </c>
      <c r="D85" t="s">
        <v>24</v>
      </c>
      <c r="E85" s="7">
        <v>44731</v>
      </c>
      <c r="F85" t="s">
        <v>21</v>
      </c>
      <c r="G85" s="30">
        <v>70270</v>
      </c>
      <c r="H85" t="s">
        <v>206</v>
      </c>
      <c r="I85" s="6">
        <f ca="1">IF(Staff[[#This Row],[Tenure]]&gt;=2,Staff[[#This Row],[Salary]]*0.03,Staff[[#This Row],[Salary]]*0.02)</f>
        <v>2108.1</v>
      </c>
      <c r="J85" s="9">
        <f ca="1">(TODAY()-Staff[[#This Row],[Date Joined]])/365</f>
        <v>3.7643835616438355</v>
      </c>
      <c r="K85" s="6">
        <f ca="1">Staff[[#This Row],[Salary]]+Staff[[#This Row],[Bonus]]</f>
        <v>72378.100000000006</v>
      </c>
    </row>
    <row r="86" spans="1:11" x14ac:dyDescent="0.3">
      <c r="A86" t="s">
        <v>162</v>
      </c>
      <c r="B86" t="s">
        <v>15</v>
      </c>
      <c r="C86">
        <v>46</v>
      </c>
      <c r="D86" t="s">
        <v>16</v>
      </c>
      <c r="E86" s="7">
        <v>44697</v>
      </c>
      <c r="F86" t="s">
        <v>9</v>
      </c>
      <c r="G86" s="30">
        <v>70610</v>
      </c>
      <c r="H86" t="s">
        <v>204</v>
      </c>
      <c r="I86" s="6">
        <f ca="1">IF(Staff[[#This Row],[Tenure]]&gt;=2,Staff[[#This Row],[Salary]]*0.03,Staff[[#This Row],[Salary]]*0.02)</f>
        <v>2118.2999999999997</v>
      </c>
      <c r="J86" s="9">
        <f ca="1">(TODAY()-Staff[[#This Row],[Date Joined]])/365</f>
        <v>3.8575342465753426</v>
      </c>
      <c r="K86" s="6">
        <f ca="1">Staff[[#This Row],[Salary]]+Staff[[#This Row],[Bonus]]</f>
        <v>72728.3</v>
      </c>
    </row>
    <row r="87" spans="1:11" x14ac:dyDescent="0.3">
      <c r="A87" t="s">
        <v>70</v>
      </c>
      <c r="B87" t="s">
        <v>15</v>
      </c>
      <c r="C87">
        <v>46</v>
      </c>
      <c r="D87" t="s">
        <v>16</v>
      </c>
      <c r="E87" s="7">
        <v>44758</v>
      </c>
      <c r="F87" t="s">
        <v>9</v>
      </c>
      <c r="G87" s="30">
        <v>70610</v>
      </c>
      <c r="H87" t="s">
        <v>206</v>
      </c>
      <c r="I87" s="6">
        <f ca="1">IF(Staff[[#This Row],[Tenure]]&gt;=2,Staff[[#This Row],[Salary]]*0.03,Staff[[#This Row],[Salary]]*0.02)</f>
        <v>2118.2999999999997</v>
      </c>
      <c r="J87" s="9">
        <f ca="1">(TODAY()-Staff[[#This Row],[Date Joined]])/365</f>
        <v>3.6904109589041094</v>
      </c>
      <c r="K87" s="6">
        <f ca="1">Staff[[#This Row],[Salary]]+Staff[[#This Row],[Bonus]]</f>
        <v>72728.3</v>
      </c>
    </row>
    <row r="88" spans="1:11" x14ac:dyDescent="0.3">
      <c r="A88" t="s">
        <v>187</v>
      </c>
      <c r="B88" t="s">
        <v>15</v>
      </c>
      <c r="C88">
        <v>36</v>
      </c>
      <c r="D88" t="s">
        <v>16</v>
      </c>
      <c r="E88" s="7">
        <v>44272</v>
      </c>
      <c r="F88" t="s">
        <v>21</v>
      </c>
      <c r="G88" s="30">
        <v>71380</v>
      </c>
      <c r="H88" t="s">
        <v>204</v>
      </c>
      <c r="I88" s="6">
        <f ca="1">IF(Staff[[#This Row],[Tenure]]&gt;=2,Staff[[#This Row],[Salary]]*0.03,Staff[[#This Row],[Salary]]*0.02)</f>
        <v>2141.4</v>
      </c>
      <c r="J88" s="9">
        <f ca="1">(TODAY()-Staff[[#This Row],[Date Joined]])/365</f>
        <v>5.021917808219178</v>
      </c>
      <c r="K88" s="6">
        <f ca="1">Staff[[#This Row],[Salary]]+Staff[[#This Row],[Bonus]]</f>
        <v>73521.399999999994</v>
      </c>
    </row>
    <row r="89" spans="1:11" x14ac:dyDescent="0.3">
      <c r="A89" t="s">
        <v>94</v>
      </c>
      <c r="B89" t="s">
        <v>15</v>
      </c>
      <c r="C89">
        <v>36</v>
      </c>
      <c r="D89" t="s">
        <v>16</v>
      </c>
      <c r="E89" s="7">
        <v>44333</v>
      </c>
      <c r="F89" t="s">
        <v>21</v>
      </c>
      <c r="G89" s="30">
        <v>71380</v>
      </c>
      <c r="H89" t="s">
        <v>206</v>
      </c>
      <c r="I89" s="6">
        <f ca="1">IF(Staff[[#This Row],[Tenure]]&gt;=2,Staff[[#This Row],[Salary]]*0.03,Staff[[#This Row],[Salary]]*0.02)</f>
        <v>2141.4</v>
      </c>
      <c r="J89" s="9">
        <f ca="1">(TODAY()-Staff[[#This Row],[Date Joined]])/365</f>
        <v>4.8547945205479452</v>
      </c>
      <c r="K89" s="6">
        <f ca="1">Staff[[#This Row],[Salary]]+Staff[[#This Row],[Bonus]]</f>
        <v>73521.399999999994</v>
      </c>
    </row>
    <row r="90" spans="1:11" x14ac:dyDescent="0.3">
      <c r="A90" t="s">
        <v>115</v>
      </c>
      <c r="B90" t="s">
        <v>15</v>
      </c>
      <c r="C90">
        <v>33</v>
      </c>
      <c r="D90" t="s">
        <v>16</v>
      </c>
      <c r="E90" s="7">
        <v>44324</v>
      </c>
      <c r="F90" t="s">
        <v>19</v>
      </c>
      <c r="G90" s="30">
        <v>74550</v>
      </c>
      <c r="H90" t="s">
        <v>204</v>
      </c>
      <c r="I90" s="6">
        <f ca="1">IF(Staff[[#This Row],[Tenure]]&gt;=2,Staff[[#This Row],[Salary]]*0.03,Staff[[#This Row],[Salary]]*0.02)</f>
        <v>2236.5</v>
      </c>
      <c r="J90" s="9">
        <f ca="1">(TODAY()-Staff[[#This Row],[Date Joined]])/365</f>
        <v>4.8794520547945206</v>
      </c>
      <c r="K90" s="6">
        <f ca="1">Staff[[#This Row],[Salary]]+Staff[[#This Row],[Bonus]]</f>
        <v>76786.5</v>
      </c>
    </row>
    <row r="91" spans="1:11" x14ac:dyDescent="0.3">
      <c r="A91" t="s">
        <v>18</v>
      </c>
      <c r="B91" t="s">
        <v>15</v>
      </c>
      <c r="C91">
        <v>33</v>
      </c>
      <c r="D91" t="s">
        <v>16</v>
      </c>
      <c r="E91" s="7">
        <v>44385</v>
      </c>
      <c r="F91" t="s">
        <v>19</v>
      </c>
      <c r="G91" s="30">
        <v>74550</v>
      </c>
      <c r="H91" t="s">
        <v>206</v>
      </c>
      <c r="I91" s="6">
        <f ca="1">IF(Staff[[#This Row],[Tenure]]&gt;=2,Staff[[#This Row],[Salary]]*0.03,Staff[[#This Row],[Salary]]*0.02)</f>
        <v>2236.5</v>
      </c>
      <c r="J91" s="9">
        <f ca="1">(TODAY()-Staff[[#This Row],[Date Joined]])/365</f>
        <v>4.7123287671232879</v>
      </c>
      <c r="K91" s="6">
        <f ca="1">Staff[[#This Row],[Salary]]+Staff[[#This Row],[Bonus]]</f>
        <v>76786.5</v>
      </c>
    </row>
    <row r="92" spans="1:11" x14ac:dyDescent="0.3">
      <c r="A92" t="s">
        <v>111</v>
      </c>
      <c r="B92" t="s">
        <v>8</v>
      </c>
      <c r="C92">
        <v>42</v>
      </c>
      <c r="D92" t="s">
        <v>10</v>
      </c>
      <c r="E92" s="7">
        <v>44718</v>
      </c>
      <c r="F92" t="s">
        <v>9</v>
      </c>
      <c r="G92" s="30">
        <v>75000</v>
      </c>
      <c r="H92" t="s">
        <v>204</v>
      </c>
      <c r="I92" s="6">
        <f ca="1">IF(Staff[[#This Row],[Tenure]]&gt;=2,Staff[[#This Row],[Salary]]*0.03,Staff[[#This Row],[Salary]]*0.02)</f>
        <v>2250</v>
      </c>
      <c r="J92" s="9">
        <f ca="1">(TODAY()-Staff[[#This Row],[Date Joined]])/365</f>
        <v>3.8</v>
      </c>
      <c r="K92" s="6">
        <f ca="1">Staff[[#This Row],[Salary]]+Staff[[#This Row],[Bonus]]</f>
        <v>77250</v>
      </c>
    </row>
    <row r="93" spans="1:11" x14ac:dyDescent="0.3">
      <c r="A93" t="s">
        <v>7</v>
      </c>
      <c r="B93" t="s">
        <v>8</v>
      </c>
      <c r="C93">
        <v>42</v>
      </c>
      <c r="D93" t="s">
        <v>10</v>
      </c>
      <c r="E93" s="7">
        <v>44779</v>
      </c>
      <c r="F93" t="s">
        <v>9</v>
      </c>
      <c r="G93" s="30">
        <v>75000</v>
      </c>
      <c r="H93" t="s">
        <v>206</v>
      </c>
      <c r="I93" s="6">
        <f ca="1">IF(Staff[[#This Row],[Tenure]]&gt;=2,Staff[[#This Row],[Salary]]*0.03,Staff[[#This Row],[Salary]]*0.02)</f>
        <v>2250</v>
      </c>
      <c r="J93" s="9">
        <f ca="1">(TODAY()-Staff[[#This Row],[Date Joined]])/365</f>
        <v>3.6328767123287671</v>
      </c>
      <c r="K93" s="6">
        <f ca="1">Staff[[#This Row],[Salary]]+Staff[[#This Row],[Bonus]]</f>
        <v>77250</v>
      </c>
    </row>
    <row r="94" spans="1:11" x14ac:dyDescent="0.3">
      <c r="A94" t="s">
        <v>188</v>
      </c>
      <c r="B94" t="s">
        <v>8</v>
      </c>
      <c r="C94">
        <v>33</v>
      </c>
      <c r="D94" t="s">
        <v>16</v>
      </c>
      <c r="E94" s="7">
        <v>44253</v>
      </c>
      <c r="F94" t="s">
        <v>12</v>
      </c>
      <c r="G94" s="30">
        <v>75280</v>
      </c>
      <c r="H94" t="s">
        <v>204</v>
      </c>
      <c r="I94" s="6">
        <f ca="1">IF(Staff[[#This Row],[Tenure]]&gt;=2,Staff[[#This Row],[Salary]]*0.03,Staff[[#This Row],[Salary]]*0.02)</f>
        <v>2258.4</v>
      </c>
      <c r="J94" s="9">
        <f ca="1">(TODAY()-Staff[[#This Row],[Date Joined]])/365</f>
        <v>5.0739726027397261</v>
      </c>
      <c r="K94" s="6">
        <f ca="1">Staff[[#This Row],[Salary]]+Staff[[#This Row],[Bonus]]</f>
        <v>77538.399999999994</v>
      </c>
    </row>
    <row r="95" spans="1:11" x14ac:dyDescent="0.3">
      <c r="A95" t="s">
        <v>95</v>
      </c>
      <c r="B95" t="s">
        <v>8</v>
      </c>
      <c r="C95">
        <v>33</v>
      </c>
      <c r="D95" t="s">
        <v>16</v>
      </c>
      <c r="E95" s="7">
        <v>44312</v>
      </c>
      <c r="F95" t="s">
        <v>12</v>
      </c>
      <c r="G95" s="30">
        <v>75280</v>
      </c>
      <c r="H95" t="s">
        <v>206</v>
      </c>
      <c r="I95" s="6">
        <f ca="1">IF(Staff[[#This Row],[Tenure]]&gt;=2,Staff[[#This Row],[Salary]]*0.03,Staff[[#This Row],[Salary]]*0.02)</f>
        <v>2258.4</v>
      </c>
      <c r="J95" s="9">
        <f ca="1">(TODAY()-Staff[[#This Row],[Date Joined]])/365</f>
        <v>4.912328767123288</v>
      </c>
      <c r="K95" s="6">
        <f ca="1">Staff[[#This Row],[Salary]]+Staff[[#This Row],[Bonus]]</f>
        <v>77538.399999999994</v>
      </c>
    </row>
    <row r="96" spans="1:11" x14ac:dyDescent="0.3">
      <c r="A96" t="s">
        <v>135</v>
      </c>
      <c r="B96" t="s">
        <v>8</v>
      </c>
      <c r="C96">
        <v>33</v>
      </c>
      <c r="D96" t="s">
        <v>42</v>
      </c>
      <c r="E96" s="7">
        <v>44313</v>
      </c>
      <c r="F96" t="s">
        <v>12</v>
      </c>
      <c r="G96" s="30">
        <v>75480</v>
      </c>
      <c r="H96" t="s">
        <v>204</v>
      </c>
      <c r="I96" s="6">
        <f ca="1">IF(Staff[[#This Row],[Tenure]]&gt;=2,Staff[[#This Row],[Salary]]*0.03,Staff[[#This Row],[Salary]]*0.02)</f>
        <v>2264.4</v>
      </c>
      <c r="J96" s="9">
        <f ca="1">(TODAY()-Staff[[#This Row],[Date Joined]])/365</f>
        <v>4.9095890410958907</v>
      </c>
      <c r="K96" s="6">
        <f ca="1">Staff[[#This Row],[Salary]]+Staff[[#This Row],[Bonus]]</f>
        <v>77744.399999999994</v>
      </c>
    </row>
    <row r="97" spans="1:11" x14ac:dyDescent="0.3">
      <c r="A97" t="s">
        <v>41</v>
      </c>
      <c r="B97" t="s">
        <v>8</v>
      </c>
      <c r="C97">
        <v>33</v>
      </c>
      <c r="D97" t="s">
        <v>42</v>
      </c>
      <c r="E97" s="7">
        <v>44374</v>
      </c>
      <c r="F97" t="s">
        <v>12</v>
      </c>
      <c r="G97" s="30">
        <v>75480</v>
      </c>
      <c r="H97" t="s">
        <v>206</v>
      </c>
      <c r="I97" s="6">
        <f ca="1">IF(Staff[[#This Row],[Tenure]]&gt;=2,Staff[[#This Row],[Salary]]*0.03,Staff[[#This Row],[Salary]]*0.02)</f>
        <v>2264.4</v>
      </c>
      <c r="J97" s="9">
        <f ca="1">(TODAY()-Staff[[#This Row],[Date Joined]])/365</f>
        <v>4.7424657534246579</v>
      </c>
      <c r="K97" s="6">
        <f ca="1">Staff[[#This Row],[Salary]]+Staff[[#This Row],[Bonus]]</f>
        <v>77744.399999999994</v>
      </c>
    </row>
    <row r="98" spans="1:11" x14ac:dyDescent="0.3">
      <c r="A98" t="s">
        <v>170</v>
      </c>
      <c r="B98" t="s">
        <v>15</v>
      </c>
      <c r="C98">
        <v>21</v>
      </c>
      <c r="D98" t="s">
        <v>16</v>
      </c>
      <c r="E98" s="7">
        <v>44180</v>
      </c>
      <c r="F98" t="s">
        <v>56</v>
      </c>
      <c r="G98" s="30">
        <v>75880</v>
      </c>
      <c r="H98" t="s">
        <v>204</v>
      </c>
      <c r="I98" s="6">
        <f ca="1">IF(Staff[[#This Row],[Tenure]]&gt;=2,Staff[[#This Row],[Salary]]*0.03,Staff[[#This Row],[Salary]]*0.02)</f>
        <v>2276.4</v>
      </c>
      <c r="J98" s="9">
        <f ca="1">(TODAY()-Staff[[#This Row],[Date Joined]])/365</f>
        <v>5.2739726027397262</v>
      </c>
      <c r="K98" s="6">
        <f ca="1">Staff[[#This Row],[Salary]]+Staff[[#This Row],[Bonus]]</f>
        <v>78156.399999999994</v>
      </c>
    </row>
    <row r="99" spans="1:11" x14ac:dyDescent="0.3">
      <c r="A99" t="s">
        <v>78</v>
      </c>
      <c r="B99" t="s">
        <v>15</v>
      </c>
      <c r="C99">
        <v>21</v>
      </c>
      <c r="D99" t="s">
        <v>16</v>
      </c>
      <c r="E99" s="7">
        <v>44242</v>
      </c>
      <c r="F99" t="s">
        <v>56</v>
      </c>
      <c r="G99" s="30">
        <v>75880</v>
      </c>
      <c r="H99" t="s">
        <v>206</v>
      </c>
      <c r="I99" s="6">
        <f ca="1">IF(Staff[[#This Row],[Tenure]]&gt;=2,Staff[[#This Row],[Salary]]*0.03,Staff[[#This Row],[Salary]]*0.02)</f>
        <v>2276.4</v>
      </c>
      <c r="J99" s="9">
        <f ca="1">(TODAY()-Staff[[#This Row],[Date Joined]])/365</f>
        <v>5.1041095890410961</v>
      </c>
      <c r="K99" s="6">
        <f ca="1">Staff[[#This Row],[Salary]]+Staff[[#This Row],[Bonus]]</f>
        <v>78156.399999999994</v>
      </c>
    </row>
    <row r="100" spans="1:11" x14ac:dyDescent="0.3">
      <c r="A100" t="s">
        <v>129</v>
      </c>
      <c r="B100" t="s">
        <v>8</v>
      </c>
      <c r="C100">
        <v>28</v>
      </c>
      <c r="D100" t="s">
        <v>16</v>
      </c>
      <c r="E100" s="7">
        <v>44124</v>
      </c>
      <c r="F100" t="s">
        <v>21</v>
      </c>
      <c r="G100" s="30">
        <v>75970</v>
      </c>
      <c r="H100" t="s">
        <v>204</v>
      </c>
      <c r="I100" s="6">
        <f ca="1">IF(Staff[[#This Row],[Tenure]]&gt;=2,Staff[[#This Row],[Salary]]*0.03,Staff[[#This Row],[Salary]]*0.02)</f>
        <v>2279.1</v>
      </c>
      <c r="J100" s="9">
        <f ca="1">(TODAY()-Staff[[#This Row],[Date Joined]])/365</f>
        <v>5.4273972602739722</v>
      </c>
      <c r="K100" s="6">
        <f ca="1">Staff[[#This Row],[Salary]]+Staff[[#This Row],[Bonus]]</f>
        <v>78249.100000000006</v>
      </c>
    </row>
    <row r="101" spans="1:11" x14ac:dyDescent="0.3">
      <c r="A101" t="s">
        <v>35</v>
      </c>
      <c r="B101" t="s">
        <v>8</v>
      </c>
      <c r="C101">
        <v>28</v>
      </c>
      <c r="D101" t="s">
        <v>16</v>
      </c>
      <c r="E101" s="7">
        <v>44185</v>
      </c>
      <c r="F101" t="s">
        <v>21</v>
      </c>
      <c r="G101" s="30">
        <v>75970</v>
      </c>
      <c r="H101" t="s">
        <v>206</v>
      </c>
      <c r="I101" s="6">
        <f ca="1">IF(Staff[[#This Row],[Tenure]]&gt;=2,Staff[[#This Row],[Salary]]*0.03,Staff[[#This Row],[Salary]]*0.02)</f>
        <v>2279.1</v>
      </c>
      <c r="J101" s="9">
        <f ca="1">(TODAY()-Staff[[#This Row],[Date Joined]])/365</f>
        <v>5.2602739726027394</v>
      </c>
      <c r="K101" s="6">
        <f ca="1">Staff[[#This Row],[Salary]]+Staff[[#This Row],[Bonus]]</f>
        <v>78249.100000000006</v>
      </c>
    </row>
    <row r="102" spans="1:11" x14ac:dyDescent="0.3">
      <c r="A102" t="s">
        <v>154</v>
      </c>
      <c r="B102" t="s">
        <v>8</v>
      </c>
      <c r="C102">
        <v>22</v>
      </c>
      <c r="D102" t="s">
        <v>13</v>
      </c>
      <c r="E102" s="7">
        <v>44388</v>
      </c>
      <c r="F102" t="s">
        <v>9</v>
      </c>
      <c r="G102" s="30">
        <v>76900</v>
      </c>
      <c r="H102" t="s">
        <v>204</v>
      </c>
      <c r="I102" s="6">
        <f ca="1">IF(Staff[[#This Row],[Tenure]]&gt;=2,Staff[[#This Row],[Salary]]*0.03,Staff[[#This Row],[Salary]]*0.02)</f>
        <v>2307</v>
      </c>
      <c r="J102" s="9">
        <f ca="1">(TODAY()-Staff[[#This Row],[Date Joined]])/365</f>
        <v>4.7041095890410958</v>
      </c>
      <c r="K102" s="6">
        <f ca="1">Staff[[#This Row],[Salary]]+Staff[[#This Row],[Bonus]]</f>
        <v>79207</v>
      </c>
    </row>
    <row r="103" spans="1:11" x14ac:dyDescent="0.3">
      <c r="A103" t="s">
        <v>62</v>
      </c>
      <c r="B103" t="s">
        <v>8</v>
      </c>
      <c r="C103">
        <v>22</v>
      </c>
      <c r="D103" t="s">
        <v>13</v>
      </c>
      <c r="E103" s="7">
        <v>44450</v>
      </c>
      <c r="F103" t="s">
        <v>9</v>
      </c>
      <c r="G103" s="30">
        <v>76900</v>
      </c>
      <c r="H103" t="s">
        <v>206</v>
      </c>
      <c r="I103" s="6">
        <f ca="1">IF(Staff[[#This Row],[Tenure]]&gt;=2,Staff[[#This Row],[Salary]]*0.03,Staff[[#This Row],[Salary]]*0.02)</f>
        <v>2307</v>
      </c>
      <c r="J103" s="9">
        <f ca="1">(TODAY()-Staff[[#This Row],[Date Joined]])/365</f>
        <v>4.5342465753424657</v>
      </c>
      <c r="K103" s="6">
        <f ca="1">Staff[[#This Row],[Salary]]+Staff[[#This Row],[Bonus]]</f>
        <v>79207</v>
      </c>
    </row>
    <row r="104" spans="1:11" x14ac:dyDescent="0.3">
      <c r="A104" t="s">
        <v>164</v>
      </c>
      <c r="B104" t="s">
        <v>8</v>
      </c>
      <c r="C104">
        <v>36</v>
      </c>
      <c r="D104" t="s">
        <v>16</v>
      </c>
      <c r="E104" s="7">
        <v>44468</v>
      </c>
      <c r="F104" t="s">
        <v>9</v>
      </c>
      <c r="G104" s="30">
        <v>78390</v>
      </c>
      <c r="H104" t="s">
        <v>204</v>
      </c>
      <c r="I104" s="6">
        <f ca="1">IF(Staff[[#This Row],[Tenure]]&gt;=2,Staff[[#This Row],[Salary]]*0.03,Staff[[#This Row],[Salary]]*0.02)</f>
        <v>2351.6999999999998</v>
      </c>
      <c r="J104" s="9">
        <f ca="1">(TODAY()-Staff[[#This Row],[Date Joined]])/365</f>
        <v>4.484931506849315</v>
      </c>
      <c r="K104" s="6">
        <f ca="1">Staff[[#This Row],[Salary]]+Staff[[#This Row],[Bonus]]</f>
        <v>80741.7</v>
      </c>
    </row>
    <row r="105" spans="1:11" x14ac:dyDescent="0.3">
      <c r="A105" t="s">
        <v>72</v>
      </c>
      <c r="B105" t="s">
        <v>8</v>
      </c>
      <c r="C105">
        <v>36</v>
      </c>
      <c r="D105" t="s">
        <v>16</v>
      </c>
      <c r="E105" s="7">
        <v>44529</v>
      </c>
      <c r="F105" t="s">
        <v>9</v>
      </c>
      <c r="G105" s="30">
        <v>78390</v>
      </c>
      <c r="H105" t="s">
        <v>206</v>
      </c>
      <c r="I105" s="6">
        <f ca="1">IF(Staff[[#This Row],[Tenure]]&gt;=2,Staff[[#This Row],[Salary]]*0.03,Staff[[#This Row],[Salary]]*0.02)</f>
        <v>2351.6999999999998</v>
      </c>
      <c r="J105" s="9">
        <f ca="1">(TODAY()-Staff[[#This Row],[Date Joined]])/365</f>
        <v>4.3178082191780822</v>
      </c>
      <c r="K105" s="6">
        <f ca="1">Staff[[#This Row],[Salary]]+Staff[[#This Row],[Bonus]]</f>
        <v>80741.7</v>
      </c>
    </row>
    <row r="106" spans="1:11" x14ac:dyDescent="0.3">
      <c r="A106" t="s">
        <v>141</v>
      </c>
      <c r="B106" t="s">
        <v>8</v>
      </c>
      <c r="C106">
        <v>36</v>
      </c>
      <c r="D106" t="s">
        <v>16</v>
      </c>
      <c r="E106" s="7">
        <v>44433</v>
      </c>
      <c r="F106" t="s">
        <v>19</v>
      </c>
      <c r="G106" s="30">
        <v>78540</v>
      </c>
      <c r="H106" t="s">
        <v>204</v>
      </c>
      <c r="I106" s="6">
        <f ca="1">IF(Staff[[#This Row],[Tenure]]&gt;=2,Staff[[#This Row],[Salary]]*0.03,Staff[[#This Row],[Salary]]*0.02)</f>
        <v>2356.1999999999998</v>
      </c>
      <c r="J106" s="9">
        <f ca="1">(TODAY()-Staff[[#This Row],[Date Joined]])/365</f>
        <v>4.580821917808219</v>
      </c>
      <c r="K106" s="6">
        <f ca="1">Staff[[#This Row],[Salary]]+Staff[[#This Row],[Bonus]]</f>
        <v>80896.2</v>
      </c>
    </row>
    <row r="107" spans="1:11" x14ac:dyDescent="0.3">
      <c r="A107" t="s">
        <v>48</v>
      </c>
      <c r="B107" t="s">
        <v>8</v>
      </c>
      <c r="C107">
        <v>36</v>
      </c>
      <c r="D107" t="s">
        <v>16</v>
      </c>
      <c r="E107" s="7">
        <v>44494</v>
      </c>
      <c r="F107" t="s">
        <v>19</v>
      </c>
      <c r="G107" s="30">
        <v>78540</v>
      </c>
      <c r="H107" t="s">
        <v>206</v>
      </c>
      <c r="I107" s="6">
        <f ca="1">IF(Staff[[#This Row],[Tenure]]&gt;=2,Staff[[#This Row],[Salary]]*0.03,Staff[[#This Row],[Salary]]*0.02)</f>
        <v>2356.1999999999998</v>
      </c>
      <c r="J107" s="9">
        <f ca="1">(TODAY()-Staff[[#This Row],[Date Joined]])/365</f>
        <v>4.4136986301369863</v>
      </c>
      <c r="K107" s="6">
        <f ca="1">Staff[[#This Row],[Salary]]+Staff[[#This Row],[Bonus]]</f>
        <v>80896.2</v>
      </c>
    </row>
    <row r="108" spans="1:11" x14ac:dyDescent="0.3">
      <c r="A108" t="s">
        <v>197</v>
      </c>
      <c r="B108" t="s">
        <v>15</v>
      </c>
      <c r="C108">
        <v>20</v>
      </c>
      <c r="D108" t="s">
        <v>16</v>
      </c>
      <c r="E108" s="7">
        <v>44683</v>
      </c>
      <c r="F108" t="s">
        <v>9</v>
      </c>
      <c r="G108" s="30">
        <v>79570</v>
      </c>
      <c r="H108" t="s">
        <v>204</v>
      </c>
      <c r="I108" s="6">
        <f ca="1">IF(Staff[[#This Row],[Tenure]]&gt;=2,Staff[[#This Row],[Salary]]*0.03,Staff[[#This Row],[Salary]]*0.02)</f>
        <v>2387.1</v>
      </c>
      <c r="J108" s="9">
        <f ca="1">(TODAY()-Staff[[#This Row],[Date Joined]])/365</f>
        <v>3.8958904109589043</v>
      </c>
      <c r="K108" s="6">
        <f ca="1">Staff[[#This Row],[Salary]]+Staff[[#This Row],[Bonus]]</f>
        <v>81957.100000000006</v>
      </c>
    </row>
    <row r="109" spans="1:11" x14ac:dyDescent="0.3">
      <c r="A109" t="s">
        <v>104</v>
      </c>
      <c r="B109" t="s">
        <v>15</v>
      </c>
      <c r="C109">
        <v>20</v>
      </c>
      <c r="D109" t="s">
        <v>16</v>
      </c>
      <c r="E109" s="7">
        <v>44744</v>
      </c>
      <c r="F109" t="s">
        <v>9</v>
      </c>
      <c r="G109" s="30">
        <v>79570</v>
      </c>
      <c r="H109" t="s">
        <v>206</v>
      </c>
      <c r="I109" s="6">
        <f ca="1">IF(Staff[[#This Row],[Tenure]]&gt;=2,Staff[[#This Row],[Salary]]*0.03,Staff[[#This Row],[Salary]]*0.02)</f>
        <v>2387.1</v>
      </c>
      <c r="J109" s="9">
        <f ca="1">(TODAY()-Staff[[#This Row],[Date Joined]])/365</f>
        <v>3.7287671232876711</v>
      </c>
      <c r="K109" s="6">
        <f ca="1">Staff[[#This Row],[Salary]]+Staff[[#This Row],[Bonus]]</f>
        <v>81957.100000000006</v>
      </c>
    </row>
    <row r="110" spans="1:11" x14ac:dyDescent="0.3">
      <c r="A110" t="s">
        <v>133</v>
      </c>
      <c r="B110" t="s">
        <v>8</v>
      </c>
      <c r="C110">
        <v>25</v>
      </c>
      <c r="D110" t="s">
        <v>13</v>
      </c>
      <c r="E110" s="7">
        <v>44633</v>
      </c>
      <c r="F110" t="s">
        <v>12</v>
      </c>
      <c r="G110" s="30">
        <v>80700</v>
      </c>
      <c r="H110" t="s">
        <v>204</v>
      </c>
      <c r="I110" s="6">
        <f ca="1">IF(Staff[[#This Row],[Tenure]]&gt;=2,Staff[[#This Row],[Salary]]*0.03,Staff[[#This Row],[Salary]]*0.02)</f>
        <v>2421</v>
      </c>
      <c r="J110" s="9">
        <f ca="1">(TODAY()-Staff[[#This Row],[Date Joined]])/365</f>
        <v>4.0328767123287674</v>
      </c>
      <c r="K110" s="6">
        <f ca="1">Staff[[#This Row],[Salary]]+Staff[[#This Row],[Bonus]]</f>
        <v>83121</v>
      </c>
    </row>
    <row r="111" spans="1:11" x14ac:dyDescent="0.3">
      <c r="A111" t="s">
        <v>39</v>
      </c>
      <c r="B111" t="s">
        <v>8</v>
      </c>
      <c r="C111">
        <v>25</v>
      </c>
      <c r="D111" t="s">
        <v>13</v>
      </c>
      <c r="E111" s="7">
        <v>44694</v>
      </c>
      <c r="F111" t="s">
        <v>12</v>
      </c>
      <c r="G111" s="30">
        <v>80700</v>
      </c>
      <c r="H111" t="s">
        <v>206</v>
      </c>
      <c r="I111" s="6">
        <f ca="1">IF(Staff[[#This Row],[Tenure]]&gt;=2,Staff[[#This Row],[Salary]]*0.03,Staff[[#This Row],[Salary]]*0.02)</f>
        <v>2421</v>
      </c>
      <c r="J111" s="9">
        <f ca="1">(TODAY()-Staff[[#This Row],[Date Joined]])/365</f>
        <v>3.8657534246575342</v>
      </c>
      <c r="K111" s="6">
        <f ca="1">Staff[[#This Row],[Salary]]+Staff[[#This Row],[Bonus]]</f>
        <v>83121</v>
      </c>
    </row>
    <row r="112" spans="1:11" x14ac:dyDescent="0.3">
      <c r="A112" t="s">
        <v>185</v>
      </c>
      <c r="B112" t="s">
        <v>8</v>
      </c>
      <c r="C112">
        <v>27</v>
      </c>
      <c r="D112" t="s">
        <v>16</v>
      </c>
      <c r="E112" s="7">
        <v>44625</v>
      </c>
      <c r="F112" t="s">
        <v>12</v>
      </c>
      <c r="G112" s="30">
        <v>83750</v>
      </c>
      <c r="H112" t="s">
        <v>204</v>
      </c>
      <c r="I112" s="6">
        <f ca="1">IF(Staff[[#This Row],[Tenure]]&gt;=2,Staff[[#This Row],[Salary]]*0.03,Staff[[#This Row],[Salary]]*0.02)</f>
        <v>2512.5</v>
      </c>
      <c r="J112" s="9">
        <f ca="1">(TODAY()-Staff[[#This Row],[Date Joined]])/365</f>
        <v>4.0547945205479454</v>
      </c>
      <c r="K112" s="6">
        <f ca="1">Staff[[#This Row],[Salary]]+Staff[[#This Row],[Bonus]]</f>
        <v>86262.5</v>
      </c>
    </row>
    <row r="113" spans="1:11" x14ac:dyDescent="0.3">
      <c r="A113" t="s">
        <v>92</v>
      </c>
      <c r="B113" t="s">
        <v>8</v>
      </c>
      <c r="C113">
        <v>27</v>
      </c>
      <c r="D113" t="s">
        <v>16</v>
      </c>
      <c r="E113" s="7">
        <v>44686</v>
      </c>
      <c r="F113" t="s">
        <v>12</v>
      </c>
      <c r="G113" s="30">
        <v>83750</v>
      </c>
      <c r="H113" t="s">
        <v>206</v>
      </c>
      <c r="I113" s="6">
        <f ca="1">IF(Staff[[#This Row],[Tenure]]&gt;=2,Staff[[#This Row],[Salary]]*0.03,Staff[[#This Row],[Salary]]*0.02)</f>
        <v>2512.5</v>
      </c>
      <c r="J113" s="9">
        <f ca="1">(TODAY()-Staff[[#This Row],[Date Joined]])/365</f>
        <v>3.8876712328767122</v>
      </c>
      <c r="K113" s="6">
        <f ca="1">Staff[[#This Row],[Salary]]+Staff[[#This Row],[Bonus]]</f>
        <v>86262.5</v>
      </c>
    </row>
    <row r="114" spans="1:11" x14ac:dyDescent="0.3">
      <c r="A114" t="s">
        <v>122</v>
      </c>
      <c r="B114" t="s">
        <v>8</v>
      </c>
      <c r="C114">
        <v>34</v>
      </c>
      <c r="D114" t="s">
        <v>16</v>
      </c>
      <c r="E114" s="7">
        <v>44397</v>
      </c>
      <c r="F114" t="s">
        <v>21</v>
      </c>
      <c r="G114" s="30">
        <v>85000</v>
      </c>
      <c r="H114" t="s">
        <v>204</v>
      </c>
      <c r="I114" s="6">
        <f ca="1">IF(Staff[[#This Row],[Tenure]]&gt;=2,Staff[[#This Row],[Salary]]*0.03,Staff[[#This Row],[Salary]]*0.02)</f>
        <v>2550</v>
      </c>
      <c r="J114" s="9">
        <f ca="1">(TODAY()-Staff[[#This Row],[Date Joined]])/365</f>
        <v>4.6794520547945204</v>
      </c>
      <c r="K114" s="6">
        <f ca="1">Staff[[#This Row],[Salary]]+Staff[[#This Row],[Bonus]]</f>
        <v>87550</v>
      </c>
    </row>
    <row r="115" spans="1:11" x14ac:dyDescent="0.3">
      <c r="A115" t="s">
        <v>28</v>
      </c>
      <c r="B115" t="s">
        <v>8</v>
      </c>
      <c r="C115">
        <v>34</v>
      </c>
      <c r="D115" t="s">
        <v>16</v>
      </c>
      <c r="E115" s="7">
        <v>44459</v>
      </c>
      <c r="F115" t="s">
        <v>21</v>
      </c>
      <c r="G115" s="30">
        <v>85000</v>
      </c>
      <c r="H115" t="s">
        <v>206</v>
      </c>
      <c r="I115" s="6">
        <f ca="1">IF(Staff[[#This Row],[Tenure]]&gt;=2,Staff[[#This Row],[Salary]]*0.03,Staff[[#This Row],[Salary]]*0.02)</f>
        <v>2550</v>
      </c>
      <c r="J115" s="9">
        <f ca="1">(TODAY()-Staff[[#This Row],[Date Joined]])/365</f>
        <v>4.5095890410958903</v>
      </c>
      <c r="K115" s="6">
        <f ca="1">Staff[[#This Row],[Salary]]+Staff[[#This Row],[Bonus]]</f>
        <v>87550</v>
      </c>
    </row>
    <row r="116" spans="1:11" x14ac:dyDescent="0.3">
      <c r="A116" t="s">
        <v>181</v>
      </c>
      <c r="B116" t="s">
        <v>8</v>
      </c>
      <c r="C116">
        <v>33</v>
      </c>
      <c r="D116" t="s">
        <v>16</v>
      </c>
      <c r="E116" s="7">
        <v>44747</v>
      </c>
      <c r="F116" t="s">
        <v>21</v>
      </c>
      <c r="G116" s="30">
        <v>86570</v>
      </c>
      <c r="H116" t="s">
        <v>204</v>
      </c>
      <c r="I116" s="6">
        <f ca="1">IF(Staff[[#This Row],[Tenure]]&gt;=2,Staff[[#This Row],[Salary]]*0.03,Staff[[#This Row],[Salary]]*0.02)</f>
        <v>2597.1</v>
      </c>
      <c r="J116" s="9">
        <f ca="1">(TODAY()-Staff[[#This Row],[Date Joined]])/365</f>
        <v>3.7205479452054795</v>
      </c>
      <c r="K116" s="6">
        <f ca="1">Staff[[#This Row],[Salary]]+Staff[[#This Row],[Bonus]]</f>
        <v>89167.1</v>
      </c>
    </row>
    <row r="117" spans="1:11" x14ac:dyDescent="0.3">
      <c r="A117" t="s">
        <v>88</v>
      </c>
      <c r="B117" t="s">
        <v>8</v>
      </c>
      <c r="C117">
        <v>33</v>
      </c>
      <c r="D117" t="s">
        <v>16</v>
      </c>
      <c r="E117" s="7">
        <v>44809</v>
      </c>
      <c r="F117" t="s">
        <v>21</v>
      </c>
      <c r="G117" s="30">
        <v>86570</v>
      </c>
      <c r="H117" t="s">
        <v>206</v>
      </c>
      <c r="I117" s="6">
        <f ca="1">IF(Staff[[#This Row],[Tenure]]&gt;=2,Staff[[#This Row],[Salary]]*0.03,Staff[[#This Row],[Salary]]*0.02)</f>
        <v>2597.1</v>
      </c>
      <c r="J117" s="9">
        <f ca="1">(TODAY()-Staff[[#This Row],[Date Joined]])/365</f>
        <v>3.5506849315068494</v>
      </c>
      <c r="K117" s="6">
        <f ca="1">Staff[[#This Row],[Salary]]+Staff[[#This Row],[Bonus]]</f>
        <v>89167.1</v>
      </c>
    </row>
    <row r="118" spans="1:11" x14ac:dyDescent="0.3">
      <c r="A118" t="s">
        <v>166</v>
      </c>
      <c r="B118" t="s">
        <v>8</v>
      </c>
      <c r="C118">
        <v>40</v>
      </c>
      <c r="D118" t="s">
        <v>16</v>
      </c>
      <c r="E118" s="7">
        <v>44276</v>
      </c>
      <c r="F118" t="s">
        <v>12</v>
      </c>
      <c r="G118" s="30">
        <v>87620</v>
      </c>
      <c r="H118" t="s">
        <v>204</v>
      </c>
      <c r="I118" s="6">
        <f ca="1">IF(Staff[[#This Row],[Tenure]]&gt;=2,Staff[[#This Row],[Salary]]*0.03,Staff[[#This Row],[Salary]]*0.02)</f>
        <v>2628.6</v>
      </c>
      <c r="J118" s="9">
        <f ca="1">(TODAY()-Staff[[#This Row],[Date Joined]])/365</f>
        <v>5.0109589041095894</v>
      </c>
      <c r="K118" s="6">
        <f ca="1">Staff[[#This Row],[Salary]]+Staff[[#This Row],[Bonus]]</f>
        <v>90248.6</v>
      </c>
    </row>
    <row r="119" spans="1:11" x14ac:dyDescent="0.3">
      <c r="A119" t="s">
        <v>74</v>
      </c>
      <c r="B119" t="s">
        <v>8</v>
      </c>
      <c r="C119">
        <v>40</v>
      </c>
      <c r="D119" t="s">
        <v>16</v>
      </c>
      <c r="E119" s="7">
        <v>44337</v>
      </c>
      <c r="F119" t="s">
        <v>12</v>
      </c>
      <c r="G119" s="30">
        <v>87620</v>
      </c>
      <c r="H119" t="s">
        <v>206</v>
      </c>
      <c r="I119" s="6">
        <f ca="1">IF(Staff[[#This Row],[Tenure]]&gt;=2,Staff[[#This Row],[Salary]]*0.03,Staff[[#This Row],[Salary]]*0.02)</f>
        <v>2628.6</v>
      </c>
      <c r="J119" s="9">
        <f ca="1">(TODAY()-Staff[[#This Row],[Date Joined]])/365</f>
        <v>4.8438356164383558</v>
      </c>
      <c r="K119" s="6">
        <f ca="1">Staff[[#This Row],[Salary]]+Staff[[#This Row],[Bonus]]</f>
        <v>90248.6</v>
      </c>
    </row>
    <row r="120" spans="1:11" x14ac:dyDescent="0.3">
      <c r="A120" t="s">
        <v>118</v>
      </c>
      <c r="B120" t="s">
        <v>15</v>
      </c>
      <c r="C120">
        <v>37</v>
      </c>
      <c r="D120" t="s">
        <v>24</v>
      </c>
      <c r="E120" s="7">
        <v>44277</v>
      </c>
      <c r="F120" t="s">
        <v>12</v>
      </c>
      <c r="G120" s="30">
        <v>88050</v>
      </c>
      <c r="H120" t="s">
        <v>204</v>
      </c>
      <c r="I120" s="6">
        <f ca="1">IF(Staff[[#This Row],[Tenure]]&gt;=2,Staff[[#This Row],[Salary]]*0.03,Staff[[#This Row],[Salary]]*0.02)</f>
        <v>2641.5</v>
      </c>
      <c r="J120" s="9">
        <f ca="1">(TODAY()-Staff[[#This Row],[Date Joined]])/365</f>
        <v>5.0082191780821921</v>
      </c>
      <c r="K120" s="6">
        <f ca="1">Staff[[#This Row],[Salary]]+Staff[[#This Row],[Bonus]]</f>
        <v>90691.5</v>
      </c>
    </row>
    <row r="121" spans="1:11" x14ac:dyDescent="0.3">
      <c r="A121" t="s">
        <v>23</v>
      </c>
      <c r="B121" t="s">
        <v>15</v>
      </c>
      <c r="C121">
        <v>37</v>
      </c>
      <c r="D121" t="s">
        <v>24</v>
      </c>
      <c r="E121" s="7">
        <v>44338</v>
      </c>
      <c r="F121" t="s">
        <v>12</v>
      </c>
      <c r="G121" s="30">
        <v>88050</v>
      </c>
      <c r="H121" t="s">
        <v>206</v>
      </c>
      <c r="I121" s="6">
        <f ca="1">IF(Staff[[#This Row],[Tenure]]&gt;=2,Staff[[#This Row],[Salary]]*0.03,Staff[[#This Row],[Salary]]*0.02)</f>
        <v>2641.5</v>
      </c>
      <c r="J121" s="9">
        <f ca="1">(TODAY()-Staff[[#This Row],[Date Joined]])/365</f>
        <v>4.8410958904109593</v>
      </c>
      <c r="K121" s="6">
        <f ca="1">Staff[[#This Row],[Salary]]+Staff[[#This Row],[Bonus]]</f>
        <v>90691.5</v>
      </c>
    </row>
    <row r="122" spans="1:11" x14ac:dyDescent="0.3">
      <c r="A122" t="s">
        <v>112</v>
      </c>
      <c r="B122" t="s">
        <v>205</v>
      </c>
      <c r="C122">
        <v>27</v>
      </c>
      <c r="D122" t="s">
        <v>13</v>
      </c>
      <c r="E122" s="7">
        <v>44212</v>
      </c>
      <c r="F122" t="s">
        <v>12</v>
      </c>
      <c r="G122" s="30">
        <v>90700</v>
      </c>
      <c r="H122" t="s">
        <v>204</v>
      </c>
      <c r="I122" s="6">
        <f ca="1">IF(Staff[[#This Row],[Tenure]]&gt;=2,Staff[[#This Row],[Salary]]*0.03,Staff[[#This Row],[Salary]]*0.02)</f>
        <v>2721</v>
      </c>
      <c r="J122" s="9">
        <f ca="1">(TODAY()-Staff[[#This Row],[Date Joined]])/365</f>
        <v>5.1863013698630134</v>
      </c>
      <c r="K122" s="6">
        <f ca="1">Staff[[#This Row],[Salary]]+Staff[[#This Row],[Bonus]]</f>
        <v>93421</v>
      </c>
    </row>
    <row r="123" spans="1:11" x14ac:dyDescent="0.3">
      <c r="A123" t="s">
        <v>11</v>
      </c>
      <c r="B123" t="s">
        <v>205</v>
      </c>
      <c r="C123">
        <v>26</v>
      </c>
      <c r="D123" t="s">
        <v>13</v>
      </c>
      <c r="E123" s="7">
        <v>44271</v>
      </c>
      <c r="F123" t="s">
        <v>12</v>
      </c>
      <c r="G123" s="30">
        <v>90700</v>
      </c>
      <c r="H123" t="s">
        <v>206</v>
      </c>
      <c r="I123" s="6">
        <f ca="1">IF(Staff[[#This Row],[Tenure]]&gt;=2,Staff[[#This Row],[Salary]]*0.03,Staff[[#This Row],[Salary]]*0.02)</f>
        <v>2721</v>
      </c>
      <c r="J123" s="9">
        <f ca="1">(TODAY()-Staff[[#This Row],[Date Joined]])/365</f>
        <v>5.0246575342465754</v>
      </c>
      <c r="K123" s="6">
        <f ca="1">Staff[[#This Row],[Salary]]+Staff[[#This Row],[Bonus]]</f>
        <v>93421</v>
      </c>
    </row>
    <row r="124" spans="1:11" x14ac:dyDescent="0.3">
      <c r="A124" t="s">
        <v>145</v>
      </c>
      <c r="B124" t="s">
        <v>205</v>
      </c>
      <c r="C124">
        <v>32</v>
      </c>
      <c r="D124" t="s">
        <v>16</v>
      </c>
      <c r="E124" s="7">
        <v>44713</v>
      </c>
      <c r="F124" t="s">
        <v>12</v>
      </c>
      <c r="G124" s="30">
        <v>91310</v>
      </c>
      <c r="H124" t="s">
        <v>204</v>
      </c>
      <c r="I124" s="6">
        <f ca="1">IF(Staff[[#This Row],[Tenure]]&gt;=2,Staff[[#This Row],[Salary]]*0.03,Staff[[#This Row],[Salary]]*0.02)</f>
        <v>2739.2999999999997</v>
      </c>
      <c r="J124" s="9">
        <f ca="1">(TODAY()-Staff[[#This Row],[Date Joined]])/365</f>
        <v>3.8136986301369862</v>
      </c>
      <c r="K124" s="6">
        <f ca="1">Staff[[#This Row],[Salary]]+Staff[[#This Row],[Bonus]]</f>
        <v>94049.3</v>
      </c>
    </row>
    <row r="125" spans="1:11" x14ac:dyDescent="0.3">
      <c r="A125" t="s">
        <v>52</v>
      </c>
      <c r="B125" t="s">
        <v>205</v>
      </c>
      <c r="C125">
        <v>32</v>
      </c>
      <c r="D125" t="s">
        <v>16</v>
      </c>
      <c r="E125" s="7">
        <v>44774</v>
      </c>
      <c r="F125" t="s">
        <v>12</v>
      </c>
      <c r="G125" s="30">
        <v>91310</v>
      </c>
      <c r="H125" t="s">
        <v>206</v>
      </c>
      <c r="I125" s="6">
        <f ca="1">IF(Staff[[#This Row],[Tenure]]&gt;=2,Staff[[#This Row],[Salary]]*0.03,Staff[[#This Row],[Salary]]*0.02)</f>
        <v>2739.2999999999997</v>
      </c>
      <c r="J125" s="9">
        <f ca="1">(TODAY()-Staff[[#This Row],[Date Joined]])/365</f>
        <v>3.6465753424657534</v>
      </c>
      <c r="K125" s="6">
        <f ca="1">Staff[[#This Row],[Salary]]+Staff[[#This Row],[Bonus]]</f>
        <v>94049.3</v>
      </c>
    </row>
    <row r="126" spans="1:11" x14ac:dyDescent="0.3">
      <c r="A126" t="s">
        <v>160</v>
      </c>
      <c r="B126" t="s">
        <v>15</v>
      </c>
      <c r="C126">
        <v>27</v>
      </c>
      <c r="D126" t="s">
        <v>13</v>
      </c>
      <c r="E126" s="7">
        <v>44174</v>
      </c>
      <c r="F126" t="s">
        <v>21</v>
      </c>
      <c r="G126" s="30">
        <v>91650</v>
      </c>
      <c r="H126" t="s">
        <v>204</v>
      </c>
      <c r="I126" s="6">
        <f ca="1">IF(Staff[[#This Row],[Tenure]]&gt;=2,Staff[[#This Row],[Salary]]*0.03,Staff[[#This Row],[Salary]]*0.02)</f>
        <v>2749.5</v>
      </c>
      <c r="J126" s="9">
        <f ca="1">(TODAY()-Staff[[#This Row],[Date Joined]])/365</f>
        <v>5.2904109589041095</v>
      </c>
      <c r="K126" s="6">
        <f ca="1">Staff[[#This Row],[Salary]]+Staff[[#This Row],[Bonus]]</f>
        <v>94399.5</v>
      </c>
    </row>
    <row r="127" spans="1:11" x14ac:dyDescent="0.3">
      <c r="A127" t="s">
        <v>68</v>
      </c>
      <c r="B127" t="s">
        <v>15</v>
      </c>
      <c r="C127">
        <v>27</v>
      </c>
      <c r="D127" t="s">
        <v>13</v>
      </c>
      <c r="E127" s="7">
        <v>44236</v>
      </c>
      <c r="F127" t="s">
        <v>21</v>
      </c>
      <c r="G127" s="30">
        <v>91650</v>
      </c>
      <c r="H127" t="s">
        <v>206</v>
      </c>
      <c r="I127" s="6">
        <f ca="1">IF(Staff[[#This Row],[Tenure]]&gt;=2,Staff[[#This Row],[Salary]]*0.03,Staff[[#This Row],[Salary]]*0.02)</f>
        <v>2749.5</v>
      </c>
      <c r="J127" s="9">
        <f ca="1">(TODAY()-Staff[[#This Row],[Date Joined]])/365</f>
        <v>5.1205479452054794</v>
      </c>
      <c r="K127" s="6">
        <f ca="1">Staff[[#This Row],[Salary]]+Staff[[#This Row],[Bonus]]</f>
        <v>94399.5</v>
      </c>
    </row>
    <row r="128" spans="1:11" x14ac:dyDescent="0.3">
      <c r="A128" t="s">
        <v>195</v>
      </c>
      <c r="B128" t="s">
        <v>8</v>
      </c>
      <c r="C128">
        <v>34</v>
      </c>
      <c r="D128" t="s">
        <v>16</v>
      </c>
      <c r="E128" s="7">
        <v>44383</v>
      </c>
      <c r="F128" t="s">
        <v>21</v>
      </c>
      <c r="G128" s="30">
        <v>92450</v>
      </c>
      <c r="H128" t="s">
        <v>204</v>
      </c>
      <c r="I128" s="6">
        <f ca="1">IF(Staff[[#This Row],[Tenure]]&gt;=2,Staff[[#This Row],[Salary]]*0.03,Staff[[#This Row],[Salary]]*0.02)</f>
        <v>2773.5</v>
      </c>
      <c r="J128" s="9">
        <f ca="1">(TODAY()-Staff[[#This Row],[Date Joined]])/365</f>
        <v>4.7178082191780826</v>
      </c>
      <c r="K128" s="6">
        <f ca="1">Staff[[#This Row],[Salary]]+Staff[[#This Row],[Bonus]]</f>
        <v>95223.5</v>
      </c>
    </row>
    <row r="129" spans="1:11" x14ac:dyDescent="0.3">
      <c r="A129" t="s">
        <v>102</v>
      </c>
      <c r="B129" t="s">
        <v>8</v>
      </c>
      <c r="C129">
        <v>34</v>
      </c>
      <c r="D129" t="s">
        <v>16</v>
      </c>
      <c r="E129" s="7">
        <v>44445</v>
      </c>
      <c r="F129" t="s">
        <v>21</v>
      </c>
      <c r="G129" s="30">
        <v>92450</v>
      </c>
      <c r="H129" t="s">
        <v>206</v>
      </c>
      <c r="I129" s="6">
        <f ca="1">IF(Staff[[#This Row],[Tenure]]&gt;=2,Staff[[#This Row],[Salary]]*0.03,Staff[[#This Row],[Salary]]*0.02)</f>
        <v>2773.5</v>
      </c>
      <c r="J129" s="9">
        <f ca="1">(TODAY()-Staff[[#This Row],[Date Joined]])/365</f>
        <v>4.5479452054794525</v>
      </c>
      <c r="K129" s="6">
        <f ca="1">Staff[[#This Row],[Salary]]+Staff[[#This Row],[Bonus]]</f>
        <v>95223.5</v>
      </c>
    </row>
    <row r="130" spans="1:11" x14ac:dyDescent="0.3">
      <c r="A130" t="s">
        <v>169</v>
      </c>
      <c r="B130" t="s">
        <v>8</v>
      </c>
      <c r="C130">
        <v>25</v>
      </c>
      <c r="D130" t="s">
        <v>16</v>
      </c>
      <c r="E130" s="7">
        <v>44144</v>
      </c>
      <c r="F130" t="s">
        <v>19</v>
      </c>
      <c r="G130" s="30">
        <v>92700</v>
      </c>
      <c r="H130" t="s">
        <v>204</v>
      </c>
      <c r="I130" s="6">
        <f ca="1">IF(Staff[[#This Row],[Tenure]]&gt;=2,Staff[[#This Row],[Salary]]*0.03,Staff[[#This Row],[Salary]]*0.02)</f>
        <v>2781</v>
      </c>
      <c r="J130" s="9">
        <f ca="1">(TODAY()-Staff[[#This Row],[Date Joined]])/365</f>
        <v>5.3726027397260276</v>
      </c>
      <c r="K130" s="6">
        <f ca="1">Staff[[#This Row],[Salary]]+Staff[[#This Row],[Bonus]]</f>
        <v>95481</v>
      </c>
    </row>
    <row r="131" spans="1:11" x14ac:dyDescent="0.3">
      <c r="A131" t="s">
        <v>77</v>
      </c>
      <c r="B131" t="s">
        <v>8</v>
      </c>
      <c r="C131">
        <v>25</v>
      </c>
      <c r="D131" t="s">
        <v>16</v>
      </c>
      <c r="E131" s="7">
        <v>44205</v>
      </c>
      <c r="F131" t="s">
        <v>19</v>
      </c>
      <c r="G131" s="30">
        <v>92700</v>
      </c>
      <c r="H131" t="s">
        <v>206</v>
      </c>
      <c r="I131" s="6">
        <f ca="1">IF(Staff[[#This Row],[Tenure]]&gt;=2,Staff[[#This Row],[Salary]]*0.03,Staff[[#This Row],[Salary]]*0.02)</f>
        <v>2781</v>
      </c>
      <c r="J131" s="9">
        <f ca="1">(TODAY()-Staff[[#This Row],[Date Joined]])/365</f>
        <v>5.2054794520547949</v>
      </c>
      <c r="K131" s="6">
        <f ca="1">Staff[[#This Row],[Salary]]+Staff[[#This Row],[Bonus]]</f>
        <v>95481</v>
      </c>
    </row>
    <row r="132" spans="1:11" x14ac:dyDescent="0.3">
      <c r="A132" t="s">
        <v>163</v>
      </c>
      <c r="B132" t="s">
        <v>8</v>
      </c>
      <c r="C132">
        <v>33</v>
      </c>
      <c r="D132" t="s">
        <v>16</v>
      </c>
      <c r="E132" s="7">
        <v>44129</v>
      </c>
      <c r="F132" t="s">
        <v>12</v>
      </c>
      <c r="G132" s="30">
        <v>96140</v>
      </c>
      <c r="H132" t="s">
        <v>204</v>
      </c>
      <c r="I132" s="6">
        <f ca="1">IF(Staff[[#This Row],[Tenure]]&gt;=2,Staff[[#This Row],[Salary]]*0.03,Staff[[#This Row],[Salary]]*0.02)</f>
        <v>2884.2</v>
      </c>
      <c r="J132" s="9">
        <f ca="1">(TODAY()-Staff[[#This Row],[Date Joined]])/365</f>
        <v>5.4136986301369863</v>
      </c>
      <c r="K132" s="6">
        <f ca="1">Staff[[#This Row],[Salary]]+Staff[[#This Row],[Bonus]]</f>
        <v>99024.2</v>
      </c>
    </row>
    <row r="133" spans="1:11" x14ac:dyDescent="0.3">
      <c r="A133" t="s">
        <v>71</v>
      </c>
      <c r="B133" t="s">
        <v>8</v>
      </c>
      <c r="C133">
        <v>33</v>
      </c>
      <c r="D133" t="s">
        <v>16</v>
      </c>
      <c r="E133" s="7">
        <v>44190</v>
      </c>
      <c r="F133" t="s">
        <v>12</v>
      </c>
      <c r="G133" s="30">
        <v>96140</v>
      </c>
      <c r="H133" t="s">
        <v>206</v>
      </c>
      <c r="I133" s="6">
        <f ca="1">IF(Staff[[#This Row],[Tenure]]&gt;=2,Staff[[#This Row],[Salary]]*0.03,Staff[[#This Row],[Salary]]*0.02)</f>
        <v>2884.2</v>
      </c>
      <c r="J133" s="9">
        <f ca="1">(TODAY()-Staff[[#This Row],[Date Joined]])/365</f>
        <v>5.2465753424657535</v>
      </c>
      <c r="K133" s="6">
        <f ca="1">Staff[[#This Row],[Salary]]+Staff[[#This Row],[Bonus]]</f>
        <v>99024.2</v>
      </c>
    </row>
    <row r="134" spans="1:11" x14ac:dyDescent="0.3">
      <c r="A134" t="s">
        <v>177</v>
      </c>
      <c r="B134" t="s">
        <v>15</v>
      </c>
      <c r="C134">
        <v>30</v>
      </c>
      <c r="D134" t="s">
        <v>16</v>
      </c>
      <c r="E134" s="7">
        <v>44544</v>
      </c>
      <c r="F134" t="s">
        <v>21</v>
      </c>
      <c r="G134" s="30">
        <v>96800</v>
      </c>
      <c r="H134" t="s">
        <v>204</v>
      </c>
      <c r="I134" s="6">
        <f ca="1">IF(Staff[[#This Row],[Tenure]]&gt;=2,Staff[[#This Row],[Salary]]*0.03,Staff[[#This Row],[Salary]]*0.02)</f>
        <v>2904</v>
      </c>
      <c r="J134" s="9">
        <f ca="1">(TODAY()-Staff[[#This Row],[Date Joined]])/365</f>
        <v>4.2767123287671236</v>
      </c>
      <c r="K134" s="6">
        <f ca="1">Staff[[#This Row],[Salary]]+Staff[[#This Row],[Bonus]]</f>
        <v>99704</v>
      </c>
    </row>
    <row r="135" spans="1:11" x14ac:dyDescent="0.3">
      <c r="A135" t="s">
        <v>85</v>
      </c>
      <c r="B135" t="s">
        <v>15</v>
      </c>
      <c r="C135">
        <v>30</v>
      </c>
      <c r="D135" t="s">
        <v>16</v>
      </c>
      <c r="E135" s="7">
        <v>44606</v>
      </c>
      <c r="F135" t="s">
        <v>21</v>
      </c>
      <c r="G135" s="30">
        <v>96800</v>
      </c>
      <c r="H135" t="s">
        <v>206</v>
      </c>
      <c r="I135" s="6">
        <f ca="1">IF(Staff[[#This Row],[Tenure]]&gt;=2,Staff[[#This Row],[Salary]]*0.03,Staff[[#This Row],[Salary]]*0.02)</f>
        <v>2904</v>
      </c>
      <c r="J135" s="9">
        <f ca="1">(TODAY()-Staff[[#This Row],[Date Joined]])/365</f>
        <v>4.1068493150684935</v>
      </c>
      <c r="K135" s="6">
        <f ca="1">Staff[[#This Row],[Salary]]+Staff[[#This Row],[Bonus]]</f>
        <v>99704</v>
      </c>
    </row>
    <row r="136" spans="1:11" x14ac:dyDescent="0.3">
      <c r="A136" t="s">
        <v>198</v>
      </c>
      <c r="B136" t="s">
        <v>15</v>
      </c>
      <c r="C136">
        <v>40</v>
      </c>
      <c r="D136" t="s">
        <v>16</v>
      </c>
      <c r="E136" s="7">
        <v>44204</v>
      </c>
      <c r="F136" t="s">
        <v>9</v>
      </c>
      <c r="G136" s="30">
        <v>99750</v>
      </c>
      <c r="H136" t="s">
        <v>204</v>
      </c>
      <c r="I136" s="6">
        <f ca="1">IF(Staff[[#This Row],[Tenure]]&gt;=2,Staff[[#This Row],[Salary]]*0.03,Staff[[#This Row],[Salary]]*0.02)</f>
        <v>2992.5</v>
      </c>
      <c r="J136" s="9">
        <f ca="1">(TODAY()-Staff[[#This Row],[Date Joined]])/365</f>
        <v>5.2082191780821914</v>
      </c>
      <c r="K136" s="6">
        <f ca="1">Staff[[#This Row],[Salary]]+Staff[[#This Row],[Bonus]]</f>
        <v>102742.5</v>
      </c>
    </row>
    <row r="137" spans="1:11" x14ac:dyDescent="0.3">
      <c r="A137" t="s">
        <v>105</v>
      </c>
      <c r="B137" t="s">
        <v>15</v>
      </c>
      <c r="C137">
        <v>40</v>
      </c>
      <c r="D137" t="s">
        <v>16</v>
      </c>
      <c r="E137" s="7">
        <v>44263</v>
      </c>
      <c r="F137" t="s">
        <v>9</v>
      </c>
      <c r="G137" s="30">
        <v>99750</v>
      </c>
      <c r="H137" t="s">
        <v>206</v>
      </c>
      <c r="I137" s="6">
        <f ca="1">IF(Staff[[#This Row],[Tenure]]&gt;=2,Staff[[#This Row],[Salary]]*0.03,Staff[[#This Row],[Salary]]*0.02)</f>
        <v>2992.5</v>
      </c>
      <c r="J137" s="9">
        <f ca="1">(TODAY()-Staff[[#This Row],[Date Joined]])/365</f>
        <v>5.0465753424657533</v>
      </c>
      <c r="K137" s="6">
        <f ca="1">Staff[[#This Row],[Salary]]+Staff[[#This Row],[Bonus]]</f>
        <v>102742.5</v>
      </c>
    </row>
    <row r="138" spans="1:11" x14ac:dyDescent="0.3">
      <c r="A138" t="s">
        <v>200</v>
      </c>
      <c r="B138" t="s">
        <v>8</v>
      </c>
      <c r="C138">
        <v>28</v>
      </c>
      <c r="D138" t="s">
        <v>16</v>
      </c>
      <c r="E138" s="7">
        <v>44571</v>
      </c>
      <c r="F138" t="s">
        <v>9</v>
      </c>
      <c r="G138" s="30">
        <v>99970</v>
      </c>
      <c r="H138" t="s">
        <v>204</v>
      </c>
      <c r="I138" s="6">
        <f ca="1">IF(Staff[[#This Row],[Tenure]]&gt;=2,Staff[[#This Row],[Salary]]*0.03,Staff[[#This Row],[Salary]]*0.02)</f>
        <v>2999.1</v>
      </c>
      <c r="J138" s="9">
        <f ca="1">(TODAY()-Staff[[#This Row],[Date Joined]])/365</f>
        <v>4.2027397260273975</v>
      </c>
      <c r="K138" s="6">
        <f ca="1">Staff[[#This Row],[Salary]]+Staff[[#This Row],[Bonus]]</f>
        <v>102969.1</v>
      </c>
    </row>
    <row r="139" spans="1:11" x14ac:dyDescent="0.3">
      <c r="A139" t="s">
        <v>107</v>
      </c>
      <c r="B139" t="s">
        <v>8</v>
      </c>
      <c r="C139">
        <v>28</v>
      </c>
      <c r="D139" t="s">
        <v>16</v>
      </c>
      <c r="E139" s="7">
        <v>44630</v>
      </c>
      <c r="F139" t="s">
        <v>9</v>
      </c>
      <c r="G139" s="30">
        <v>99970</v>
      </c>
      <c r="H139" t="s">
        <v>206</v>
      </c>
      <c r="I139" s="6">
        <f ca="1">IF(Staff[[#This Row],[Tenure]]&gt;=2,Staff[[#This Row],[Salary]]*0.03,Staff[[#This Row],[Salary]]*0.02)</f>
        <v>2999.1</v>
      </c>
      <c r="J139" s="9">
        <f ca="1">(TODAY()-Staff[[#This Row],[Date Joined]])/365</f>
        <v>4.0410958904109586</v>
      </c>
      <c r="K139" s="6">
        <f ca="1">Staff[[#This Row],[Salary]]+Staff[[#This Row],[Bonus]]</f>
        <v>102969.1</v>
      </c>
    </row>
    <row r="140" spans="1:11" x14ac:dyDescent="0.3">
      <c r="A140" t="s">
        <v>196</v>
      </c>
      <c r="B140" t="s">
        <v>15</v>
      </c>
      <c r="C140">
        <v>24</v>
      </c>
      <c r="D140" t="s">
        <v>16</v>
      </c>
      <c r="E140" s="7">
        <v>44625</v>
      </c>
      <c r="F140" t="s">
        <v>12</v>
      </c>
      <c r="G140" s="30">
        <v>100420</v>
      </c>
      <c r="H140" t="s">
        <v>204</v>
      </c>
      <c r="I140" s="6">
        <f ca="1">IF(Staff[[#This Row],[Tenure]]&gt;=2,Staff[[#This Row],[Salary]]*0.03,Staff[[#This Row],[Salary]]*0.02)</f>
        <v>3012.6</v>
      </c>
      <c r="J140" s="9">
        <f ca="1">(TODAY()-Staff[[#This Row],[Date Joined]])/365</f>
        <v>4.0547945205479454</v>
      </c>
      <c r="K140" s="6">
        <f ca="1">Staff[[#This Row],[Salary]]+Staff[[#This Row],[Bonus]]</f>
        <v>103432.6</v>
      </c>
    </row>
    <row r="141" spans="1:11" x14ac:dyDescent="0.3">
      <c r="A141" t="s">
        <v>103</v>
      </c>
      <c r="B141" t="s">
        <v>15</v>
      </c>
      <c r="C141">
        <v>24</v>
      </c>
      <c r="D141" t="s">
        <v>16</v>
      </c>
      <c r="E141" s="7">
        <v>44686</v>
      </c>
      <c r="F141" t="s">
        <v>12</v>
      </c>
      <c r="G141" s="30">
        <v>100420</v>
      </c>
      <c r="H141" t="s">
        <v>206</v>
      </c>
      <c r="I141" s="6">
        <f ca="1">IF(Staff[[#This Row],[Tenure]]&gt;=2,Staff[[#This Row],[Salary]]*0.03,Staff[[#This Row],[Salary]]*0.02)</f>
        <v>3012.6</v>
      </c>
      <c r="J141" s="9">
        <f ca="1">(TODAY()-Staff[[#This Row],[Date Joined]])/365</f>
        <v>3.8876712328767122</v>
      </c>
      <c r="K141" s="6">
        <f ca="1">Staff[[#This Row],[Salary]]+Staff[[#This Row],[Bonus]]</f>
        <v>103432.6</v>
      </c>
    </row>
    <row r="142" spans="1:11" x14ac:dyDescent="0.3">
      <c r="A142" t="s">
        <v>143</v>
      </c>
      <c r="B142" t="s">
        <v>15</v>
      </c>
      <c r="C142">
        <v>31</v>
      </c>
      <c r="D142" t="s">
        <v>16</v>
      </c>
      <c r="E142" s="7">
        <v>44663</v>
      </c>
      <c r="F142" t="s">
        <v>9</v>
      </c>
      <c r="G142" s="30">
        <v>103550</v>
      </c>
      <c r="H142" t="s">
        <v>204</v>
      </c>
      <c r="I142" s="6">
        <f ca="1">IF(Staff[[#This Row],[Tenure]]&gt;=2,Staff[[#This Row],[Salary]]*0.03,Staff[[#This Row],[Salary]]*0.02)</f>
        <v>3106.5</v>
      </c>
      <c r="J142" s="9">
        <f ca="1">(TODAY()-Staff[[#This Row],[Date Joined]])/365</f>
        <v>3.9506849315068493</v>
      </c>
      <c r="K142" s="6">
        <f ca="1">Staff[[#This Row],[Salary]]+Staff[[#This Row],[Bonus]]</f>
        <v>106656.5</v>
      </c>
    </row>
    <row r="143" spans="1:11" x14ac:dyDescent="0.3">
      <c r="A143" t="s">
        <v>50</v>
      </c>
      <c r="B143" t="s">
        <v>15</v>
      </c>
      <c r="C143">
        <v>31</v>
      </c>
      <c r="D143" t="s">
        <v>16</v>
      </c>
      <c r="E143" s="7">
        <v>44724</v>
      </c>
      <c r="F143" t="s">
        <v>9</v>
      </c>
      <c r="G143" s="30">
        <v>103550</v>
      </c>
      <c r="H143" t="s">
        <v>206</v>
      </c>
      <c r="I143" s="6">
        <f ca="1">IF(Staff[[#This Row],[Tenure]]&gt;=2,Staff[[#This Row],[Salary]]*0.03,Staff[[#This Row],[Salary]]*0.02)</f>
        <v>3106.5</v>
      </c>
      <c r="J143" s="9">
        <f ca="1">(TODAY()-Staff[[#This Row],[Date Joined]])/365</f>
        <v>3.7835616438356166</v>
      </c>
      <c r="K143" s="6">
        <f ca="1">Staff[[#This Row],[Salary]]+Staff[[#This Row],[Bonus]]</f>
        <v>106656.5</v>
      </c>
    </row>
    <row r="144" spans="1:11" x14ac:dyDescent="0.3">
      <c r="A144" t="s">
        <v>189</v>
      </c>
      <c r="B144" t="s">
        <v>8</v>
      </c>
      <c r="C144">
        <v>28</v>
      </c>
      <c r="D144" t="s">
        <v>16</v>
      </c>
      <c r="E144" s="7">
        <v>44590</v>
      </c>
      <c r="F144" t="s">
        <v>9</v>
      </c>
      <c r="G144" s="30">
        <v>104120</v>
      </c>
      <c r="H144" t="s">
        <v>204</v>
      </c>
      <c r="I144" s="6">
        <f ca="1">IF(Staff[[#This Row],[Tenure]]&gt;=2,Staff[[#This Row],[Salary]]*0.03,Staff[[#This Row],[Salary]]*0.02)</f>
        <v>3123.6</v>
      </c>
      <c r="J144" s="9">
        <f ca="1">(TODAY()-Staff[[#This Row],[Date Joined]])/365</f>
        <v>4.1506849315068495</v>
      </c>
      <c r="K144" s="6">
        <f ca="1">Staff[[#This Row],[Salary]]+Staff[[#This Row],[Bonus]]</f>
        <v>107243.6</v>
      </c>
    </row>
    <row r="145" spans="1:11" x14ac:dyDescent="0.3">
      <c r="A145" t="s">
        <v>96</v>
      </c>
      <c r="B145" t="s">
        <v>8</v>
      </c>
      <c r="C145">
        <v>28</v>
      </c>
      <c r="D145" t="s">
        <v>16</v>
      </c>
      <c r="E145" s="7">
        <v>44649</v>
      </c>
      <c r="F145" t="s">
        <v>9</v>
      </c>
      <c r="G145" s="30">
        <v>104120</v>
      </c>
      <c r="H145" t="s">
        <v>206</v>
      </c>
      <c r="I145" s="6">
        <f ca="1">IF(Staff[[#This Row],[Tenure]]&gt;=2,Staff[[#This Row],[Salary]]*0.03,Staff[[#This Row],[Salary]]*0.02)</f>
        <v>3123.6</v>
      </c>
      <c r="J145" s="9">
        <f ca="1">(TODAY()-Staff[[#This Row],[Date Joined]])/365</f>
        <v>3.989041095890411</v>
      </c>
      <c r="K145" s="6">
        <f ca="1">Staff[[#This Row],[Salary]]+Staff[[#This Row],[Bonus]]</f>
        <v>107243.6</v>
      </c>
    </row>
    <row r="146" spans="1:11" x14ac:dyDescent="0.3">
      <c r="A146" t="s">
        <v>194</v>
      </c>
      <c r="B146" t="s">
        <v>8</v>
      </c>
      <c r="C146">
        <v>40</v>
      </c>
      <c r="D146" t="s">
        <v>16</v>
      </c>
      <c r="E146" s="7">
        <v>44320</v>
      </c>
      <c r="F146" t="s">
        <v>12</v>
      </c>
      <c r="G146" s="30">
        <v>104410</v>
      </c>
      <c r="H146" t="s">
        <v>204</v>
      </c>
      <c r="I146" s="6">
        <f ca="1">IF(Staff[[#This Row],[Tenure]]&gt;=2,Staff[[#This Row],[Salary]]*0.03,Staff[[#This Row],[Salary]]*0.02)</f>
        <v>3132.2999999999997</v>
      </c>
      <c r="J146" s="9">
        <f ca="1">(TODAY()-Staff[[#This Row],[Date Joined]])/365</f>
        <v>4.8904109589041092</v>
      </c>
      <c r="K146" s="6">
        <f ca="1">Staff[[#This Row],[Salary]]+Staff[[#This Row],[Bonus]]</f>
        <v>107542.3</v>
      </c>
    </row>
    <row r="147" spans="1:11" x14ac:dyDescent="0.3">
      <c r="A147" t="s">
        <v>101</v>
      </c>
      <c r="B147" t="s">
        <v>8</v>
      </c>
      <c r="C147">
        <v>40</v>
      </c>
      <c r="D147" t="s">
        <v>16</v>
      </c>
      <c r="E147" s="7">
        <v>44381</v>
      </c>
      <c r="F147" t="s">
        <v>12</v>
      </c>
      <c r="G147" s="30">
        <v>104410</v>
      </c>
      <c r="H147" t="s">
        <v>206</v>
      </c>
      <c r="I147" s="6">
        <f ca="1">IF(Staff[[#This Row],[Tenure]]&gt;=2,Staff[[#This Row],[Salary]]*0.03,Staff[[#This Row],[Salary]]*0.02)</f>
        <v>3132.2999999999997</v>
      </c>
      <c r="J147" s="9">
        <f ca="1">(TODAY()-Staff[[#This Row],[Date Joined]])/365</f>
        <v>4.7232876712328764</v>
      </c>
      <c r="K147" s="6">
        <f ca="1">Staff[[#This Row],[Salary]]+Staff[[#This Row],[Bonus]]</f>
        <v>107542.3</v>
      </c>
    </row>
    <row r="148" spans="1:11" x14ac:dyDescent="0.3">
      <c r="A148" t="s">
        <v>136</v>
      </c>
      <c r="B148" t="s">
        <v>8</v>
      </c>
      <c r="C148">
        <v>28</v>
      </c>
      <c r="D148" t="s">
        <v>16</v>
      </c>
      <c r="E148" s="7">
        <v>44425</v>
      </c>
      <c r="F148" t="s">
        <v>9</v>
      </c>
      <c r="G148" s="30">
        <v>104770</v>
      </c>
      <c r="H148" t="s">
        <v>204</v>
      </c>
      <c r="I148" s="6">
        <f ca="1">IF(Staff[[#This Row],[Tenure]]&gt;=2,Staff[[#This Row],[Salary]]*0.03,Staff[[#This Row],[Salary]]*0.02)</f>
        <v>3143.1</v>
      </c>
      <c r="J148" s="9">
        <f ca="1">(TODAY()-Staff[[#This Row],[Date Joined]])/365</f>
        <v>4.602739726027397</v>
      </c>
      <c r="K148" s="6">
        <f ca="1">Staff[[#This Row],[Salary]]+Staff[[#This Row],[Bonus]]</f>
        <v>107913.1</v>
      </c>
    </row>
    <row r="149" spans="1:11" x14ac:dyDescent="0.3">
      <c r="A149" t="s">
        <v>43</v>
      </c>
      <c r="B149" t="s">
        <v>8</v>
      </c>
      <c r="C149">
        <v>28</v>
      </c>
      <c r="D149" t="s">
        <v>16</v>
      </c>
      <c r="E149" s="7">
        <v>44486</v>
      </c>
      <c r="F149" t="s">
        <v>9</v>
      </c>
      <c r="G149" s="30">
        <v>104770</v>
      </c>
      <c r="H149" t="s">
        <v>206</v>
      </c>
      <c r="I149" s="6">
        <f ca="1">IF(Staff[[#This Row],[Tenure]]&gt;=2,Staff[[#This Row],[Salary]]*0.03,Staff[[#This Row],[Salary]]*0.02)</f>
        <v>3143.1</v>
      </c>
      <c r="J149" s="9">
        <f ca="1">(TODAY()-Staff[[#This Row],[Date Joined]])/365</f>
        <v>4.4356164383561643</v>
      </c>
      <c r="K149" s="6">
        <f ca="1">Staff[[#This Row],[Salary]]+Staff[[#This Row],[Bonus]]</f>
        <v>107913.1</v>
      </c>
    </row>
    <row r="150" spans="1:11" x14ac:dyDescent="0.3">
      <c r="A150" t="s">
        <v>161</v>
      </c>
      <c r="B150" t="s">
        <v>15</v>
      </c>
      <c r="C150">
        <v>23</v>
      </c>
      <c r="D150" t="s">
        <v>16</v>
      </c>
      <c r="E150" s="7">
        <v>44378</v>
      </c>
      <c r="F150" t="s">
        <v>9</v>
      </c>
      <c r="G150" s="30">
        <v>106460</v>
      </c>
      <c r="H150" t="s">
        <v>204</v>
      </c>
      <c r="I150" s="6">
        <f ca="1">IF(Staff[[#This Row],[Tenure]]&gt;=2,Staff[[#This Row],[Salary]]*0.03,Staff[[#This Row],[Salary]]*0.02)</f>
        <v>3193.7999999999997</v>
      </c>
      <c r="J150" s="9">
        <f ca="1">(TODAY()-Staff[[#This Row],[Date Joined]])/365</f>
        <v>4.7315068493150685</v>
      </c>
      <c r="K150" s="6">
        <f ca="1">Staff[[#This Row],[Salary]]+Staff[[#This Row],[Bonus]]</f>
        <v>109653.8</v>
      </c>
    </row>
    <row r="151" spans="1:11" x14ac:dyDescent="0.3">
      <c r="A151" t="s">
        <v>69</v>
      </c>
      <c r="B151" t="s">
        <v>15</v>
      </c>
      <c r="C151">
        <v>23</v>
      </c>
      <c r="D151" t="s">
        <v>16</v>
      </c>
      <c r="E151" s="7">
        <v>44440</v>
      </c>
      <c r="F151" t="s">
        <v>9</v>
      </c>
      <c r="G151" s="30">
        <v>106460</v>
      </c>
      <c r="H151" t="s">
        <v>206</v>
      </c>
      <c r="I151" s="6">
        <f ca="1">IF(Staff[[#This Row],[Tenure]]&gt;=2,Staff[[#This Row],[Salary]]*0.03,Staff[[#This Row],[Salary]]*0.02)</f>
        <v>3193.7999999999997</v>
      </c>
      <c r="J151" s="9">
        <f ca="1">(TODAY()-Staff[[#This Row],[Date Joined]])/365</f>
        <v>4.5616438356164384</v>
      </c>
      <c r="K151" s="6">
        <f ca="1">Staff[[#This Row],[Salary]]+Staff[[#This Row],[Bonus]]</f>
        <v>109653.8</v>
      </c>
    </row>
    <row r="152" spans="1:11" x14ac:dyDescent="0.3">
      <c r="A152" t="s">
        <v>117</v>
      </c>
      <c r="B152" t="s">
        <v>15</v>
      </c>
      <c r="C152">
        <v>20</v>
      </c>
      <c r="D152" t="s">
        <v>16</v>
      </c>
      <c r="E152" s="7">
        <v>44397</v>
      </c>
      <c r="F152" t="s">
        <v>12</v>
      </c>
      <c r="G152" s="30">
        <v>107700</v>
      </c>
      <c r="H152" t="s">
        <v>204</v>
      </c>
      <c r="I152" s="6">
        <f ca="1">IF(Staff[[#This Row],[Tenure]]&gt;=2,Staff[[#This Row],[Salary]]*0.03,Staff[[#This Row],[Salary]]*0.02)</f>
        <v>3231</v>
      </c>
      <c r="J152" s="9">
        <f ca="1">(TODAY()-Staff[[#This Row],[Date Joined]])/365</f>
        <v>4.6794520547945204</v>
      </c>
      <c r="K152" s="6">
        <f ca="1">Staff[[#This Row],[Salary]]+Staff[[#This Row],[Bonus]]</f>
        <v>110931</v>
      </c>
    </row>
    <row r="153" spans="1:11" x14ac:dyDescent="0.3">
      <c r="A153" t="s">
        <v>22</v>
      </c>
      <c r="B153" t="s">
        <v>15</v>
      </c>
      <c r="C153">
        <v>20</v>
      </c>
      <c r="D153" t="s">
        <v>16</v>
      </c>
      <c r="E153" s="7">
        <v>44459</v>
      </c>
      <c r="F153" t="s">
        <v>12</v>
      </c>
      <c r="G153" s="30">
        <v>107700</v>
      </c>
      <c r="H153" t="s">
        <v>206</v>
      </c>
      <c r="I153" s="6">
        <f ca="1">IF(Staff[[#This Row],[Tenure]]&gt;=2,Staff[[#This Row],[Salary]]*0.03,Staff[[#This Row],[Salary]]*0.02)</f>
        <v>3231</v>
      </c>
      <c r="J153" s="9">
        <f ca="1">(TODAY()-Staff[[#This Row],[Date Joined]])/365</f>
        <v>4.5095890410958903</v>
      </c>
      <c r="K153" s="6">
        <f ca="1">Staff[[#This Row],[Salary]]+Staff[[#This Row],[Bonus]]</f>
        <v>110931</v>
      </c>
    </row>
    <row r="154" spans="1:11" x14ac:dyDescent="0.3">
      <c r="A154" t="s">
        <v>127</v>
      </c>
      <c r="B154" t="s">
        <v>8</v>
      </c>
      <c r="C154">
        <v>38</v>
      </c>
      <c r="D154" t="s">
        <v>10</v>
      </c>
      <c r="E154" s="7">
        <v>44316</v>
      </c>
      <c r="F154" t="s">
        <v>19</v>
      </c>
      <c r="G154" s="30">
        <v>109160</v>
      </c>
      <c r="H154" t="s">
        <v>204</v>
      </c>
      <c r="I154" s="6">
        <f ca="1">IF(Staff[[#This Row],[Tenure]]&gt;=2,Staff[[#This Row],[Salary]]*0.03,Staff[[#This Row],[Salary]]*0.02)</f>
        <v>3274.7999999999997</v>
      </c>
      <c r="J154" s="9">
        <f ca="1">(TODAY()-Staff[[#This Row],[Date Joined]])/365</f>
        <v>4.9013698630136986</v>
      </c>
      <c r="K154" s="6">
        <f ca="1">Staff[[#This Row],[Salary]]+Staff[[#This Row],[Bonus]]</f>
        <v>112434.8</v>
      </c>
    </row>
    <row r="155" spans="1:11" x14ac:dyDescent="0.3">
      <c r="A155" t="s">
        <v>33</v>
      </c>
      <c r="B155" t="s">
        <v>8</v>
      </c>
      <c r="C155">
        <v>38</v>
      </c>
      <c r="D155" t="s">
        <v>10</v>
      </c>
      <c r="E155" s="7">
        <v>44377</v>
      </c>
      <c r="F155" t="s">
        <v>19</v>
      </c>
      <c r="G155" s="30">
        <v>109160</v>
      </c>
      <c r="H155" t="s">
        <v>206</v>
      </c>
      <c r="I155" s="6">
        <f ca="1">IF(Staff[[#This Row],[Tenure]]&gt;=2,Staff[[#This Row],[Salary]]*0.03,Staff[[#This Row],[Salary]]*0.02)</f>
        <v>3274.7999999999997</v>
      </c>
      <c r="J155" s="9">
        <f ca="1">(TODAY()-Staff[[#This Row],[Date Joined]])/365</f>
        <v>4.7342465753424658</v>
      </c>
      <c r="K155" s="6">
        <f ca="1">Staff[[#This Row],[Salary]]+Staff[[#This Row],[Bonus]]</f>
        <v>112434.8</v>
      </c>
    </row>
    <row r="156" spans="1:11" x14ac:dyDescent="0.3">
      <c r="A156" t="s">
        <v>128</v>
      </c>
      <c r="B156" t="s">
        <v>15</v>
      </c>
      <c r="C156">
        <v>25</v>
      </c>
      <c r="D156" t="s">
        <v>13</v>
      </c>
      <c r="E156" s="7">
        <v>44665</v>
      </c>
      <c r="F156" t="s">
        <v>9</v>
      </c>
      <c r="G156" s="30">
        <v>109190</v>
      </c>
      <c r="H156" t="s">
        <v>204</v>
      </c>
      <c r="I156" s="6">
        <f ca="1">IF(Staff[[#This Row],[Tenure]]&gt;=2,Staff[[#This Row],[Salary]]*0.03,Staff[[#This Row],[Salary]]*0.02)</f>
        <v>3275.7</v>
      </c>
      <c r="J156" s="9">
        <f ca="1">(TODAY()-Staff[[#This Row],[Date Joined]])/365</f>
        <v>3.9452054794520546</v>
      </c>
      <c r="K156" s="6">
        <f ca="1">Staff[[#This Row],[Salary]]+Staff[[#This Row],[Bonus]]</f>
        <v>112465.7</v>
      </c>
    </row>
    <row r="157" spans="1:11" x14ac:dyDescent="0.3">
      <c r="A157" t="s">
        <v>34</v>
      </c>
      <c r="B157" t="s">
        <v>15</v>
      </c>
      <c r="C157">
        <v>25</v>
      </c>
      <c r="D157" t="s">
        <v>13</v>
      </c>
      <c r="E157" s="7">
        <v>44726</v>
      </c>
      <c r="F157" t="s">
        <v>9</v>
      </c>
      <c r="G157" s="30">
        <v>109190</v>
      </c>
      <c r="H157" t="s">
        <v>206</v>
      </c>
      <c r="I157" s="6">
        <f ca="1">IF(Staff[[#This Row],[Tenure]]&gt;=2,Staff[[#This Row],[Salary]]*0.03,Staff[[#This Row],[Salary]]*0.02)</f>
        <v>3275.7</v>
      </c>
      <c r="J157" s="9">
        <f ca="1">(TODAY()-Staff[[#This Row],[Date Joined]])/365</f>
        <v>3.7780821917808218</v>
      </c>
      <c r="K157" s="6">
        <f ca="1">Staff[[#This Row],[Salary]]+Staff[[#This Row],[Bonus]]</f>
        <v>112465.7</v>
      </c>
    </row>
    <row r="158" spans="1:11" x14ac:dyDescent="0.3">
      <c r="A158" t="s">
        <v>180</v>
      </c>
      <c r="B158" t="s">
        <v>15</v>
      </c>
      <c r="C158">
        <v>29</v>
      </c>
      <c r="D158" t="s">
        <v>24</v>
      </c>
      <c r="E158" s="7">
        <v>44119</v>
      </c>
      <c r="F158" t="s">
        <v>12</v>
      </c>
      <c r="G158" s="30">
        <v>112110</v>
      </c>
      <c r="H158" t="s">
        <v>204</v>
      </c>
      <c r="I158" s="6">
        <f ca="1">IF(Staff[[#This Row],[Tenure]]&gt;=2,Staff[[#This Row],[Salary]]*0.03,Staff[[#This Row],[Salary]]*0.02)</f>
        <v>3363.2999999999997</v>
      </c>
      <c r="J158" s="9">
        <f ca="1">(TODAY()-Staff[[#This Row],[Date Joined]])/365</f>
        <v>5.441095890410959</v>
      </c>
      <c r="K158" s="6">
        <f ca="1">Staff[[#This Row],[Salary]]+Staff[[#This Row],[Bonus]]</f>
        <v>115473.3</v>
      </c>
    </row>
    <row r="159" spans="1:11" x14ac:dyDescent="0.3">
      <c r="A159" t="s">
        <v>87</v>
      </c>
      <c r="B159" t="s">
        <v>15</v>
      </c>
      <c r="C159">
        <v>29</v>
      </c>
      <c r="D159" t="s">
        <v>24</v>
      </c>
      <c r="E159" s="7">
        <v>44180</v>
      </c>
      <c r="F159" t="s">
        <v>12</v>
      </c>
      <c r="G159" s="30">
        <v>112110</v>
      </c>
      <c r="H159" t="s">
        <v>206</v>
      </c>
      <c r="I159" s="6">
        <f ca="1">IF(Staff[[#This Row],[Tenure]]&gt;=2,Staff[[#This Row],[Salary]]*0.03,Staff[[#This Row],[Salary]]*0.02)</f>
        <v>3363.2999999999997</v>
      </c>
      <c r="J159" s="9">
        <f ca="1">(TODAY()-Staff[[#This Row],[Date Joined]])/365</f>
        <v>5.2739726027397262</v>
      </c>
      <c r="K159" s="6">
        <f ca="1">Staff[[#This Row],[Salary]]+Staff[[#This Row],[Bonus]]</f>
        <v>115473.3</v>
      </c>
    </row>
    <row r="160" spans="1:11" x14ac:dyDescent="0.3">
      <c r="A160" t="s">
        <v>173</v>
      </c>
      <c r="B160" t="s">
        <v>8</v>
      </c>
      <c r="C160">
        <v>30</v>
      </c>
      <c r="D160" t="s">
        <v>16</v>
      </c>
      <c r="E160" s="7">
        <v>44800</v>
      </c>
      <c r="F160" t="s">
        <v>9</v>
      </c>
      <c r="G160" s="30">
        <v>112570</v>
      </c>
      <c r="H160" t="s">
        <v>204</v>
      </c>
      <c r="I160" s="6">
        <f ca="1">IF(Staff[[#This Row],[Tenure]]&gt;=2,Staff[[#This Row],[Salary]]*0.03,Staff[[#This Row],[Salary]]*0.02)</f>
        <v>3377.1</v>
      </c>
      <c r="J160" s="9">
        <f ca="1">(TODAY()-Staff[[#This Row],[Date Joined]])/365</f>
        <v>3.5753424657534247</v>
      </c>
      <c r="K160" s="6">
        <f ca="1">Staff[[#This Row],[Salary]]+Staff[[#This Row],[Bonus]]</f>
        <v>115947.1</v>
      </c>
    </row>
    <row r="161" spans="1:11" x14ac:dyDescent="0.3">
      <c r="A161" t="s">
        <v>81</v>
      </c>
      <c r="B161" t="s">
        <v>8</v>
      </c>
      <c r="C161">
        <v>30</v>
      </c>
      <c r="D161" t="s">
        <v>16</v>
      </c>
      <c r="E161" s="7">
        <v>44861</v>
      </c>
      <c r="F161" t="s">
        <v>9</v>
      </c>
      <c r="G161" s="30">
        <v>112570</v>
      </c>
      <c r="H161" t="s">
        <v>206</v>
      </c>
      <c r="I161" s="6">
        <f ca="1">IF(Staff[[#This Row],[Tenure]]&gt;=2,Staff[[#This Row],[Salary]]*0.03,Staff[[#This Row],[Salary]]*0.02)</f>
        <v>3377.1</v>
      </c>
      <c r="J161" s="9">
        <f ca="1">(TODAY()-Staff[[#This Row],[Date Joined]])/365</f>
        <v>3.408219178082192</v>
      </c>
      <c r="K161" s="6">
        <f ca="1">Staff[[#This Row],[Salary]]+Staff[[#This Row],[Bonus]]</f>
        <v>115947.1</v>
      </c>
    </row>
    <row r="162" spans="1:11" x14ac:dyDescent="0.3">
      <c r="A162" t="s">
        <v>156</v>
      </c>
      <c r="B162" t="s">
        <v>15</v>
      </c>
      <c r="C162">
        <v>20</v>
      </c>
      <c r="D162" t="s">
        <v>16</v>
      </c>
      <c r="E162" s="7">
        <v>44122</v>
      </c>
      <c r="F162" t="s">
        <v>12</v>
      </c>
      <c r="G162" s="30">
        <v>112650</v>
      </c>
      <c r="H162" t="s">
        <v>204</v>
      </c>
      <c r="I162" s="6">
        <f ca="1">IF(Staff[[#This Row],[Tenure]]&gt;=2,Staff[[#This Row],[Salary]]*0.03,Staff[[#This Row],[Salary]]*0.02)</f>
        <v>3379.5</v>
      </c>
      <c r="J162" s="9">
        <f ca="1">(TODAY()-Staff[[#This Row],[Date Joined]])/365</f>
        <v>5.4328767123287669</v>
      </c>
      <c r="K162" s="6">
        <f ca="1">Staff[[#This Row],[Salary]]+Staff[[#This Row],[Bonus]]</f>
        <v>116029.5</v>
      </c>
    </row>
    <row r="163" spans="1:11" x14ac:dyDescent="0.3">
      <c r="A163" t="s">
        <v>178</v>
      </c>
      <c r="B163" t="s">
        <v>15</v>
      </c>
      <c r="C163">
        <v>34</v>
      </c>
      <c r="D163" t="s">
        <v>16</v>
      </c>
      <c r="E163" s="7">
        <v>44642</v>
      </c>
      <c r="F163" t="s">
        <v>9</v>
      </c>
      <c r="G163" s="30">
        <v>112650</v>
      </c>
      <c r="H163" t="s">
        <v>204</v>
      </c>
      <c r="I163" s="6">
        <f ca="1">IF(Staff[[#This Row],[Tenure]]&gt;=2,Staff[[#This Row],[Salary]]*0.03,Staff[[#This Row],[Salary]]*0.02)</f>
        <v>3379.5</v>
      </c>
      <c r="J163" s="9">
        <f ca="1">(TODAY()-Staff[[#This Row],[Date Joined]])/365</f>
        <v>4.0082191780821921</v>
      </c>
      <c r="K163" s="6">
        <f ca="1">Staff[[#This Row],[Salary]]+Staff[[#This Row],[Bonus]]</f>
        <v>116029.5</v>
      </c>
    </row>
    <row r="164" spans="1:11" x14ac:dyDescent="0.3">
      <c r="A164" t="s">
        <v>64</v>
      </c>
      <c r="B164" t="s">
        <v>15</v>
      </c>
      <c r="C164">
        <v>20</v>
      </c>
      <c r="D164" t="s">
        <v>16</v>
      </c>
      <c r="E164" s="7">
        <v>44183</v>
      </c>
      <c r="F164" t="s">
        <v>12</v>
      </c>
      <c r="G164" s="30">
        <v>112650</v>
      </c>
      <c r="H164" t="s">
        <v>206</v>
      </c>
      <c r="I164" s="6">
        <f ca="1">IF(Staff[[#This Row],[Tenure]]&gt;=2,Staff[[#This Row],[Salary]]*0.03,Staff[[#This Row],[Salary]]*0.02)</f>
        <v>3379.5</v>
      </c>
      <c r="J164" s="9">
        <f ca="1">(TODAY()-Staff[[#This Row],[Date Joined]])/365</f>
        <v>5.2657534246575342</v>
      </c>
      <c r="K164" s="6">
        <f ca="1">Staff[[#This Row],[Salary]]+Staff[[#This Row],[Bonus]]</f>
        <v>116029.5</v>
      </c>
    </row>
    <row r="165" spans="1:11" x14ac:dyDescent="0.3">
      <c r="A165" t="s">
        <v>150</v>
      </c>
      <c r="B165" t="s">
        <v>15</v>
      </c>
      <c r="C165">
        <v>22</v>
      </c>
      <c r="D165" t="s">
        <v>13</v>
      </c>
      <c r="E165" s="7">
        <v>44384</v>
      </c>
      <c r="F165" t="s">
        <v>19</v>
      </c>
      <c r="G165" s="30">
        <v>112780</v>
      </c>
      <c r="H165" t="s">
        <v>204</v>
      </c>
      <c r="I165" s="6">
        <f ca="1">IF(Staff[[#This Row],[Tenure]]&gt;=2,Staff[[#This Row],[Salary]]*0.03,Staff[[#This Row],[Salary]]*0.02)</f>
        <v>3383.4</v>
      </c>
      <c r="J165" s="9">
        <f ca="1">(TODAY()-Staff[[#This Row],[Date Joined]])/365</f>
        <v>4.7150684931506852</v>
      </c>
      <c r="K165" s="6">
        <f ca="1">Staff[[#This Row],[Salary]]+Staff[[#This Row],[Bonus]]</f>
        <v>116163.4</v>
      </c>
    </row>
    <row r="166" spans="1:11" x14ac:dyDescent="0.3">
      <c r="A166" t="s">
        <v>58</v>
      </c>
      <c r="B166" t="s">
        <v>15</v>
      </c>
      <c r="C166">
        <v>22</v>
      </c>
      <c r="D166" t="s">
        <v>13</v>
      </c>
      <c r="E166" s="7">
        <v>44446</v>
      </c>
      <c r="F166" t="s">
        <v>19</v>
      </c>
      <c r="G166" s="30">
        <v>112780</v>
      </c>
      <c r="H166" t="s">
        <v>206</v>
      </c>
      <c r="I166" s="6">
        <f ca="1">IF(Staff[[#This Row],[Tenure]]&gt;=2,Staff[[#This Row],[Salary]]*0.03,Staff[[#This Row],[Salary]]*0.02)</f>
        <v>3383.4</v>
      </c>
      <c r="J166" s="9">
        <f ca="1">(TODAY()-Staff[[#This Row],[Date Joined]])/365</f>
        <v>4.5452054794520551</v>
      </c>
      <c r="K166" s="6">
        <f ca="1">Staff[[#This Row],[Salary]]+Staff[[#This Row],[Bonus]]</f>
        <v>116163.4</v>
      </c>
    </row>
    <row r="167" spans="1:11" x14ac:dyDescent="0.3">
      <c r="A167" t="s">
        <v>191</v>
      </c>
      <c r="B167" t="s">
        <v>15</v>
      </c>
      <c r="C167">
        <v>27</v>
      </c>
      <c r="D167" t="s">
        <v>42</v>
      </c>
      <c r="E167" s="7">
        <v>44547</v>
      </c>
      <c r="F167" t="s">
        <v>9</v>
      </c>
      <c r="G167" s="30">
        <v>113280</v>
      </c>
      <c r="H167" t="s">
        <v>204</v>
      </c>
      <c r="I167" s="6">
        <f ca="1">IF(Staff[[#This Row],[Tenure]]&gt;=2,Staff[[#This Row],[Salary]]*0.03,Staff[[#This Row],[Salary]]*0.02)</f>
        <v>3398.4</v>
      </c>
      <c r="J167" s="9">
        <f ca="1">(TODAY()-Staff[[#This Row],[Date Joined]])/365</f>
        <v>4.2684931506849315</v>
      </c>
      <c r="K167" s="6">
        <f ca="1">Staff[[#This Row],[Salary]]+Staff[[#This Row],[Bonus]]</f>
        <v>116678.39999999999</v>
      </c>
    </row>
    <row r="168" spans="1:11" x14ac:dyDescent="0.3">
      <c r="A168" t="s">
        <v>98</v>
      </c>
      <c r="B168" t="s">
        <v>15</v>
      </c>
      <c r="C168">
        <v>27</v>
      </c>
      <c r="D168" t="s">
        <v>42</v>
      </c>
      <c r="E168" s="7">
        <v>44609</v>
      </c>
      <c r="F168" t="s">
        <v>9</v>
      </c>
      <c r="G168" s="30">
        <v>113280</v>
      </c>
      <c r="H168" t="s">
        <v>206</v>
      </c>
      <c r="I168" s="6">
        <f ca="1">IF(Staff[[#This Row],[Tenure]]&gt;=2,Staff[[#This Row],[Salary]]*0.03,Staff[[#This Row],[Salary]]*0.02)</f>
        <v>3398.4</v>
      </c>
      <c r="J168" s="9">
        <f ca="1">(TODAY()-Staff[[#This Row],[Date Joined]])/365</f>
        <v>4.0986301369863014</v>
      </c>
      <c r="K168" s="6">
        <f ca="1">Staff[[#This Row],[Salary]]+Staff[[#This Row],[Bonus]]</f>
        <v>116678.39999999999</v>
      </c>
    </row>
    <row r="169" spans="1:11" x14ac:dyDescent="0.3">
      <c r="A169" t="s">
        <v>147</v>
      </c>
      <c r="B169" t="s">
        <v>8</v>
      </c>
      <c r="C169">
        <v>30</v>
      </c>
      <c r="D169" t="s">
        <v>16</v>
      </c>
      <c r="E169" s="7">
        <v>44789</v>
      </c>
      <c r="F169" t="s">
        <v>9</v>
      </c>
      <c r="G169" s="30">
        <v>114180</v>
      </c>
      <c r="H169" t="s">
        <v>204</v>
      </c>
      <c r="I169" s="6">
        <f ca="1">IF(Staff[[#This Row],[Tenure]]&gt;=2,Staff[[#This Row],[Salary]]*0.03,Staff[[#This Row],[Salary]]*0.02)</f>
        <v>3425.4</v>
      </c>
      <c r="J169" s="9">
        <f ca="1">(TODAY()-Staff[[#This Row],[Date Joined]])/365</f>
        <v>3.6054794520547944</v>
      </c>
      <c r="K169" s="6">
        <f ca="1">Staff[[#This Row],[Salary]]+Staff[[#This Row],[Bonus]]</f>
        <v>117605.4</v>
      </c>
    </row>
    <row r="170" spans="1:11" x14ac:dyDescent="0.3">
      <c r="A170" t="s">
        <v>54</v>
      </c>
      <c r="B170" t="s">
        <v>8</v>
      </c>
      <c r="C170">
        <v>30</v>
      </c>
      <c r="D170" t="s">
        <v>16</v>
      </c>
      <c r="E170" s="7">
        <v>44850</v>
      </c>
      <c r="F170" t="s">
        <v>9</v>
      </c>
      <c r="G170" s="30">
        <v>114180</v>
      </c>
      <c r="H170" t="s">
        <v>206</v>
      </c>
      <c r="I170" s="6">
        <f ca="1">IF(Staff[[#This Row],[Tenure]]&gt;=2,Staff[[#This Row],[Salary]]*0.03,Staff[[#This Row],[Salary]]*0.02)</f>
        <v>3425.4</v>
      </c>
      <c r="J170" s="9">
        <f ca="1">(TODAY()-Staff[[#This Row],[Date Joined]])/365</f>
        <v>3.4383561643835616</v>
      </c>
      <c r="K170" s="6">
        <f ca="1">Staff[[#This Row],[Salary]]+Staff[[#This Row],[Bonus]]</f>
        <v>117605.4</v>
      </c>
    </row>
    <row r="171" spans="1:11" x14ac:dyDescent="0.3">
      <c r="A171" t="s">
        <v>114</v>
      </c>
      <c r="B171" t="s">
        <v>8</v>
      </c>
      <c r="C171">
        <v>44</v>
      </c>
      <c r="D171" t="s">
        <v>16</v>
      </c>
      <c r="E171" s="7">
        <v>44985</v>
      </c>
      <c r="F171" t="s">
        <v>12</v>
      </c>
      <c r="G171" s="30">
        <v>114870</v>
      </c>
      <c r="H171" t="s">
        <v>204</v>
      </c>
      <c r="I171" s="6">
        <f ca="1">IF(Staff[[#This Row],[Tenure]]&gt;=2,Staff[[#This Row],[Salary]]*0.03,Staff[[#This Row],[Salary]]*0.02)</f>
        <v>3446.1</v>
      </c>
      <c r="J171" s="9">
        <f ca="1">(TODAY()-Staff[[#This Row],[Date Joined]])/365</f>
        <v>3.0684931506849313</v>
      </c>
      <c r="K171" s="6">
        <f ca="1">Staff[[#This Row],[Salary]]+Staff[[#This Row],[Bonus]]</f>
        <v>118316.1</v>
      </c>
    </row>
    <row r="172" spans="1:11" x14ac:dyDescent="0.3">
      <c r="A172" t="s">
        <v>17</v>
      </c>
      <c r="B172" t="s">
        <v>8</v>
      </c>
      <c r="C172">
        <v>43</v>
      </c>
      <c r="D172" t="s">
        <v>16</v>
      </c>
      <c r="E172" s="7">
        <v>45045</v>
      </c>
      <c r="F172" t="s">
        <v>12</v>
      </c>
      <c r="G172" s="30">
        <v>114870</v>
      </c>
      <c r="H172" t="s">
        <v>206</v>
      </c>
      <c r="I172" s="6">
        <f ca="1">IF(Staff[[#This Row],[Tenure]]&gt;=2,Staff[[#This Row],[Salary]]*0.03,Staff[[#This Row],[Salary]]*0.02)</f>
        <v>3446.1</v>
      </c>
      <c r="J172" s="9">
        <f ca="1">(TODAY()-Staff[[#This Row],[Date Joined]])/365</f>
        <v>2.904109589041096</v>
      </c>
      <c r="K172" s="6">
        <f ca="1">Staff[[#This Row],[Salary]]+Staff[[#This Row],[Bonus]]</f>
        <v>118316.1</v>
      </c>
    </row>
    <row r="173" spans="1:11" x14ac:dyDescent="0.3">
      <c r="A173" t="s">
        <v>175</v>
      </c>
      <c r="B173" t="s">
        <v>8</v>
      </c>
      <c r="C173">
        <v>36</v>
      </c>
      <c r="D173" t="s">
        <v>16</v>
      </c>
      <c r="E173" s="7">
        <v>44023</v>
      </c>
      <c r="F173" t="s">
        <v>9</v>
      </c>
      <c r="G173" s="30">
        <v>114890</v>
      </c>
      <c r="H173" t="s">
        <v>204</v>
      </c>
      <c r="I173" s="6">
        <f ca="1">IF(Staff[[#This Row],[Tenure]]&gt;=2,Staff[[#This Row],[Salary]]*0.03,Staff[[#This Row],[Salary]]*0.02)</f>
        <v>3446.7</v>
      </c>
      <c r="J173" s="9">
        <f ca="1">(TODAY()-Staff[[#This Row],[Date Joined]])/365</f>
        <v>5.7041095890410958</v>
      </c>
      <c r="K173" s="6">
        <f ca="1">Staff[[#This Row],[Salary]]+Staff[[#This Row],[Bonus]]</f>
        <v>118336.7</v>
      </c>
    </row>
    <row r="174" spans="1:11" x14ac:dyDescent="0.3">
      <c r="A174" t="s">
        <v>83</v>
      </c>
      <c r="B174" t="s">
        <v>8</v>
      </c>
      <c r="C174">
        <v>36</v>
      </c>
      <c r="D174" t="s">
        <v>16</v>
      </c>
      <c r="E174" s="7">
        <v>44085</v>
      </c>
      <c r="F174" t="s">
        <v>9</v>
      </c>
      <c r="G174" s="30">
        <v>114890</v>
      </c>
      <c r="H174" t="s">
        <v>206</v>
      </c>
      <c r="I174" s="6">
        <f ca="1">IF(Staff[[#This Row],[Tenure]]&gt;=2,Staff[[#This Row],[Salary]]*0.03,Staff[[#This Row],[Salary]]*0.02)</f>
        <v>3446.7</v>
      </c>
      <c r="J174" s="9">
        <f ca="1">(TODAY()-Staff[[#This Row],[Date Joined]])/365</f>
        <v>5.5342465753424657</v>
      </c>
      <c r="K174" s="6">
        <f ca="1">Staff[[#This Row],[Salary]]+Staff[[#This Row],[Bonus]]</f>
        <v>118336.7</v>
      </c>
    </row>
    <row r="175" spans="1:11" x14ac:dyDescent="0.3">
      <c r="A175" t="s">
        <v>142</v>
      </c>
      <c r="B175" t="s">
        <v>205</v>
      </c>
      <c r="C175">
        <v>37</v>
      </c>
      <c r="D175" t="s">
        <v>24</v>
      </c>
      <c r="E175" s="7">
        <v>44085</v>
      </c>
      <c r="F175" t="s">
        <v>21</v>
      </c>
      <c r="G175" s="30">
        <v>115440</v>
      </c>
      <c r="H175" t="s">
        <v>204</v>
      </c>
      <c r="I175" s="6">
        <f ca="1">IF(Staff[[#This Row],[Tenure]]&gt;=2,Staff[[#This Row],[Salary]]*0.03,Staff[[#This Row],[Salary]]*0.02)</f>
        <v>3463.2</v>
      </c>
      <c r="J175" s="9">
        <f ca="1">(TODAY()-Staff[[#This Row],[Date Joined]])/365</f>
        <v>5.5342465753424657</v>
      </c>
      <c r="K175" s="6">
        <f ca="1">Staff[[#This Row],[Salary]]+Staff[[#This Row],[Bonus]]</f>
        <v>118903.2</v>
      </c>
    </row>
    <row r="176" spans="1:11" x14ac:dyDescent="0.3">
      <c r="A176" t="s">
        <v>49</v>
      </c>
      <c r="B176" t="s">
        <v>205</v>
      </c>
      <c r="C176">
        <v>37</v>
      </c>
      <c r="D176" t="s">
        <v>24</v>
      </c>
      <c r="E176" s="7">
        <v>44146</v>
      </c>
      <c r="F176" t="s">
        <v>21</v>
      </c>
      <c r="G176" s="30">
        <v>115440</v>
      </c>
      <c r="H176" t="s">
        <v>206</v>
      </c>
      <c r="I176" s="6">
        <f ca="1">IF(Staff[[#This Row],[Tenure]]&gt;=2,Staff[[#This Row],[Salary]]*0.03,Staff[[#This Row],[Salary]]*0.02)</f>
        <v>3463.2</v>
      </c>
      <c r="J176" s="9">
        <f ca="1">(TODAY()-Staff[[#This Row],[Date Joined]])/365</f>
        <v>5.3671232876712329</v>
      </c>
      <c r="K176" s="6">
        <f ca="1">Staff[[#This Row],[Salary]]+Staff[[#This Row],[Bonus]]</f>
        <v>118903.2</v>
      </c>
    </row>
    <row r="177" spans="1:11" x14ac:dyDescent="0.3">
      <c r="A177" t="s">
        <v>134</v>
      </c>
      <c r="B177" t="s">
        <v>15</v>
      </c>
      <c r="C177">
        <v>33</v>
      </c>
      <c r="D177" t="s">
        <v>16</v>
      </c>
      <c r="E177" s="7">
        <v>44103</v>
      </c>
      <c r="F177" t="s">
        <v>9</v>
      </c>
      <c r="G177" s="30">
        <v>115920</v>
      </c>
      <c r="H177" t="s">
        <v>204</v>
      </c>
      <c r="I177" s="6">
        <f ca="1">IF(Staff[[#This Row],[Tenure]]&gt;=2,Staff[[#This Row],[Salary]]*0.03,Staff[[#This Row],[Salary]]*0.02)</f>
        <v>3477.6</v>
      </c>
      <c r="J177" s="9">
        <f ca="1">(TODAY()-Staff[[#This Row],[Date Joined]])/365</f>
        <v>5.484931506849315</v>
      </c>
      <c r="K177" s="6">
        <f ca="1">Staff[[#This Row],[Salary]]+Staff[[#This Row],[Bonus]]</f>
        <v>119397.6</v>
      </c>
    </row>
    <row r="178" spans="1:11" x14ac:dyDescent="0.3">
      <c r="A178" t="s">
        <v>40</v>
      </c>
      <c r="B178" t="s">
        <v>15</v>
      </c>
      <c r="C178">
        <v>33</v>
      </c>
      <c r="D178" t="s">
        <v>16</v>
      </c>
      <c r="E178" s="7">
        <v>44164</v>
      </c>
      <c r="F178" t="s">
        <v>9</v>
      </c>
      <c r="G178" s="30">
        <v>115920</v>
      </c>
      <c r="H178" t="s">
        <v>206</v>
      </c>
      <c r="I178" s="6">
        <f ca="1">IF(Staff[[#This Row],[Tenure]]&gt;=2,Staff[[#This Row],[Salary]]*0.03,Staff[[#This Row],[Salary]]*0.02)</f>
        <v>3477.6</v>
      </c>
      <c r="J178" s="9">
        <f ca="1">(TODAY()-Staff[[#This Row],[Date Joined]])/365</f>
        <v>5.3178082191780822</v>
      </c>
      <c r="K178" s="6">
        <f ca="1">Staff[[#This Row],[Salary]]+Staff[[#This Row],[Bonus]]</f>
        <v>119397.6</v>
      </c>
    </row>
    <row r="179" spans="1:11" x14ac:dyDescent="0.3">
      <c r="A179" t="s">
        <v>148</v>
      </c>
      <c r="B179" t="s">
        <v>8</v>
      </c>
      <c r="C179">
        <v>37</v>
      </c>
      <c r="D179" t="s">
        <v>16</v>
      </c>
      <c r="E179" s="7">
        <v>44389</v>
      </c>
      <c r="F179" t="s">
        <v>56</v>
      </c>
      <c r="G179" s="30">
        <v>118100</v>
      </c>
      <c r="H179" t="s">
        <v>204</v>
      </c>
      <c r="I179" s="6">
        <f ca="1">IF(Staff[[#This Row],[Tenure]]&gt;=2,Staff[[#This Row],[Salary]]*0.03,Staff[[#This Row],[Salary]]*0.02)</f>
        <v>3543</v>
      </c>
      <c r="J179" s="9">
        <f ca="1">(TODAY()-Staff[[#This Row],[Date Joined]])/365</f>
        <v>4.7013698630136984</v>
      </c>
      <c r="K179" s="6">
        <f ca="1">Staff[[#This Row],[Salary]]+Staff[[#This Row],[Bonus]]</f>
        <v>121643</v>
      </c>
    </row>
    <row r="180" spans="1:11" x14ac:dyDescent="0.3">
      <c r="A180" t="s">
        <v>55</v>
      </c>
      <c r="B180" t="s">
        <v>8</v>
      </c>
      <c r="C180">
        <v>37</v>
      </c>
      <c r="D180" t="s">
        <v>16</v>
      </c>
      <c r="E180" s="7">
        <v>44451</v>
      </c>
      <c r="F180" t="s">
        <v>56</v>
      </c>
      <c r="G180" s="30">
        <v>118100</v>
      </c>
      <c r="H180" t="s">
        <v>206</v>
      </c>
      <c r="I180" s="6">
        <f ca="1">IF(Staff[[#This Row],[Tenure]]&gt;=2,Staff[[#This Row],[Salary]]*0.03,Staff[[#This Row],[Salary]]*0.02)</f>
        <v>3543</v>
      </c>
      <c r="J180" s="9">
        <f ca="1">(TODAY()-Staff[[#This Row],[Date Joined]])/365</f>
        <v>4.5315068493150683</v>
      </c>
      <c r="K180" s="6">
        <f ca="1">Staff[[#This Row],[Salary]]+Staff[[#This Row],[Bonus]]</f>
        <v>121643</v>
      </c>
    </row>
    <row r="181" spans="1:11" x14ac:dyDescent="0.3">
      <c r="A181" t="s">
        <v>199</v>
      </c>
      <c r="B181" t="s">
        <v>15</v>
      </c>
      <c r="C181">
        <v>36</v>
      </c>
      <c r="D181" t="s">
        <v>16</v>
      </c>
      <c r="E181" s="7">
        <v>43958</v>
      </c>
      <c r="F181" t="s">
        <v>12</v>
      </c>
      <c r="G181" s="30">
        <v>118840</v>
      </c>
      <c r="H181" t="s">
        <v>204</v>
      </c>
      <c r="I181" s="6">
        <f ca="1">IF(Staff[[#This Row],[Tenure]]&gt;=2,Staff[[#This Row],[Salary]]*0.03,Staff[[#This Row],[Salary]]*0.02)</f>
        <v>3565.2</v>
      </c>
      <c r="J181" s="9">
        <f ca="1">(TODAY()-Staff[[#This Row],[Date Joined]])/365</f>
        <v>5.882191780821918</v>
      </c>
      <c r="K181" s="6">
        <f ca="1">Staff[[#This Row],[Salary]]+Staff[[#This Row],[Bonus]]</f>
        <v>122405.2</v>
      </c>
    </row>
    <row r="182" spans="1:11" x14ac:dyDescent="0.3">
      <c r="A182" t="s">
        <v>106</v>
      </c>
      <c r="B182" t="s">
        <v>15</v>
      </c>
      <c r="C182">
        <v>36</v>
      </c>
      <c r="D182" t="s">
        <v>16</v>
      </c>
      <c r="E182" s="7">
        <v>44019</v>
      </c>
      <c r="F182" t="s">
        <v>12</v>
      </c>
      <c r="G182" s="30">
        <v>118840</v>
      </c>
      <c r="H182" t="s">
        <v>206</v>
      </c>
      <c r="I182" s="6">
        <f ca="1">IF(Staff[[#This Row],[Tenure]]&gt;=2,Staff[[#This Row],[Salary]]*0.03,Staff[[#This Row],[Salary]]*0.02)</f>
        <v>3565.2</v>
      </c>
      <c r="J182" s="9">
        <f ca="1">(TODAY()-Staff[[#This Row],[Date Joined]])/365</f>
        <v>5.7150684931506852</v>
      </c>
      <c r="K182" s="6">
        <f ca="1">Staff[[#This Row],[Salary]]+Staff[[#This Row],[Bonus]]</f>
        <v>122405.2</v>
      </c>
    </row>
    <row r="183" spans="1:11" x14ac:dyDescent="0.3">
      <c r="A183" t="s">
        <v>152</v>
      </c>
      <c r="B183" t="s">
        <v>8</v>
      </c>
      <c r="C183">
        <v>27</v>
      </c>
      <c r="D183" t="s">
        <v>16</v>
      </c>
      <c r="E183" s="7">
        <v>44061</v>
      </c>
      <c r="F183" t="s">
        <v>56</v>
      </c>
      <c r="G183" s="30">
        <v>119110</v>
      </c>
      <c r="H183" t="s">
        <v>204</v>
      </c>
      <c r="I183" s="6">
        <f ca="1">IF(Staff[[#This Row],[Tenure]]&gt;=2,Staff[[#This Row],[Salary]]*0.03,Staff[[#This Row],[Salary]]*0.02)</f>
        <v>3573.2999999999997</v>
      </c>
      <c r="J183" s="9">
        <f ca="1">(TODAY()-Staff[[#This Row],[Date Joined]])/365</f>
        <v>5.6</v>
      </c>
      <c r="K183" s="6">
        <f ca="1">Staff[[#This Row],[Salary]]+Staff[[#This Row],[Bonus]]</f>
        <v>122683.3</v>
      </c>
    </row>
    <row r="184" spans="1:11" x14ac:dyDescent="0.3">
      <c r="A184" t="s">
        <v>60</v>
      </c>
      <c r="B184" t="s">
        <v>8</v>
      </c>
      <c r="C184">
        <v>27</v>
      </c>
      <c r="D184" t="s">
        <v>16</v>
      </c>
      <c r="E184" s="7">
        <v>44122</v>
      </c>
      <c r="F184" t="s">
        <v>56</v>
      </c>
      <c r="G184" s="30">
        <v>119110</v>
      </c>
      <c r="H184" t="s">
        <v>206</v>
      </c>
      <c r="I184" s="6">
        <f ca="1">IF(Staff[[#This Row],[Tenure]]&gt;=2,Staff[[#This Row],[Salary]]*0.03,Staff[[#This Row],[Salary]]*0.02)</f>
        <v>3573.2999999999997</v>
      </c>
      <c r="J184" s="9">
        <f ca="1">(TODAY()-Staff[[#This Row],[Date Joined]])/365</f>
        <v>5.4328767123287669</v>
      </c>
      <c r="K184" s="6">
        <f ca="1">Staff[[#This Row],[Salary]]+Staff[[#This Row],[Bonus]]</f>
        <v>122683.3</v>
      </c>
    </row>
  </sheetData>
  <conditionalFormatting sqref="C2:C184">
    <cfRule type="containsText" dxfId="1" priority="2" operator="containsText" text="&quot;&quot;">
      <formula>NOT(ISERROR(SEARCH("""""",C2)))</formula>
    </cfRule>
  </conditionalFormatting>
  <conditionalFormatting sqref="C185">
    <cfRule type="cellIs" dxfId="0" priority="1" operator="equal">
      <formula>"null"</formula>
    </cfRule>
  </conditionalFormatting>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1C3FA-702C-42E8-B99D-E750D65B62B9}">
  <sheetPr>
    <tabColor rgb="FFFFFF00"/>
  </sheetPr>
  <dimension ref="A3:K61"/>
  <sheetViews>
    <sheetView workbookViewId="0">
      <selection activeCell="F15" sqref="F15"/>
    </sheetView>
  </sheetViews>
  <sheetFormatPr defaultRowHeight="14.4" x14ac:dyDescent="0.3"/>
  <cols>
    <col min="1" max="1" width="33.44140625" customWidth="1"/>
    <col min="2" max="2" width="32.33203125" customWidth="1"/>
    <col min="3" max="3" width="12.5546875" bestFit="1" customWidth="1"/>
    <col min="6" max="6" width="16" bestFit="1" customWidth="1"/>
    <col min="7" max="7" width="15.5546875" bestFit="1" customWidth="1"/>
    <col min="8" max="9" width="12" bestFit="1" customWidth="1"/>
    <col min="10" max="13" width="18.6640625" bestFit="1" customWidth="1"/>
  </cols>
  <sheetData>
    <row r="3" spans="1:11" ht="26.4" thickBot="1" x14ac:dyDescent="0.55000000000000004">
      <c r="A3" s="29">
        <v>3</v>
      </c>
      <c r="B3" s="21" t="s">
        <v>2</v>
      </c>
      <c r="C3" s="24" t="s">
        <v>12</v>
      </c>
    </row>
    <row r="4" spans="1:11" ht="15" thickTop="1" x14ac:dyDescent="0.3"/>
    <row r="5" spans="1:11" ht="26.4" thickBot="1" x14ac:dyDescent="0.55000000000000004">
      <c r="A5" s="23" t="s">
        <v>223</v>
      </c>
      <c r="B5" s="22">
        <f ca="1">COUNTIF(Staff[],C3)</f>
        <v>54</v>
      </c>
      <c r="G5" s="29">
        <v>4</v>
      </c>
      <c r="I5" s="26" t="s">
        <v>226</v>
      </c>
    </row>
    <row r="6" spans="1:11" ht="15" thickTop="1" x14ac:dyDescent="0.3">
      <c r="H6" s="26" t="s">
        <v>228</v>
      </c>
      <c r="I6" t="s">
        <v>8</v>
      </c>
      <c r="J6" t="s">
        <v>15</v>
      </c>
      <c r="K6" t="s">
        <v>220</v>
      </c>
    </row>
    <row r="7" spans="1:11" ht="23.4" x14ac:dyDescent="0.45">
      <c r="A7" s="25" t="s">
        <v>0</v>
      </c>
      <c r="B7" s="25" t="s">
        <v>6</v>
      </c>
      <c r="C7" s="25" t="s">
        <v>5</v>
      </c>
      <c r="H7" s="27" t="s">
        <v>222</v>
      </c>
      <c r="I7" s="28">
        <v>43</v>
      </c>
      <c r="J7" s="28">
        <v>45</v>
      </c>
      <c r="K7" s="28">
        <v>88</v>
      </c>
    </row>
    <row r="8" spans="1:11" x14ac:dyDescent="0.3">
      <c r="A8" t="str" cm="1">
        <f t="array" aca="1" ref="A8:C61" ca="1">_xlfn._xlws.SORT(_xlfn.CHOOSECOLS(_xlfn._xlws.FILTER(Staff[],Staff[Department]=C3),1,4,7),3,-1)</f>
        <v>Heer Pennathur</v>
      </c>
      <c r="B8" t="str">
        <f ca="1"/>
        <v>Average</v>
      </c>
      <c r="C8">
        <f ca="1"/>
        <v>118840</v>
      </c>
      <c r="H8" s="27" t="s">
        <v>227</v>
      </c>
      <c r="I8" s="28">
        <v>31.418604651162791</v>
      </c>
      <c r="J8" s="28">
        <v>29.444444444444443</v>
      </c>
      <c r="K8" s="28">
        <v>30.40909090909091</v>
      </c>
    </row>
    <row r="9" spans="1:11" x14ac:dyDescent="0.3">
      <c r="A9" t="str">
        <f ca="1"/>
        <v>Tawnya Tickel</v>
      </c>
      <c r="B9" t="str">
        <f ca="1"/>
        <v>Average</v>
      </c>
      <c r="C9">
        <f ca="1"/>
        <v>118840</v>
      </c>
      <c r="H9" s="27" t="s">
        <v>229</v>
      </c>
      <c r="I9" s="28">
        <v>78284.186046511633</v>
      </c>
      <c r="J9" s="28">
        <v>75334.444444444438</v>
      </c>
      <c r="K9" s="28">
        <v>76775.795454545456</v>
      </c>
    </row>
    <row r="10" spans="1:11" x14ac:dyDescent="0.3">
      <c r="A10" t="str">
        <f ca="1"/>
        <v>Ramnath Ravuri</v>
      </c>
      <c r="B10" t="str">
        <f ca="1"/>
        <v>Average</v>
      </c>
      <c r="C10">
        <f ca="1"/>
        <v>114870</v>
      </c>
      <c r="H10" s="27" t="s">
        <v>230</v>
      </c>
      <c r="I10" s="28">
        <v>4.6639694170117876</v>
      </c>
      <c r="J10" s="28">
        <v>4.6470015220700152</v>
      </c>
      <c r="K10" s="28">
        <v>4.6552926525529266</v>
      </c>
    </row>
    <row r="11" spans="1:11" x14ac:dyDescent="0.3">
      <c r="A11" t="str">
        <f ca="1"/>
        <v>Wilone O'Kielt</v>
      </c>
      <c r="B11" t="str">
        <f ca="1"/>
        <v>Average</v>
      </c>
      <c r="C11">
        <f ca="1"/>
        <v>114870</v>
      </c>
      <c r="H11" s="27" t="s">
        <v>231</v>
      </c>
      <c r="I11" s="28">
        <v>5.624066306167478</v>
      </c>
      <c r="J11" s="28">
        <v>6.5593637286898865</v>
      </c>
      <c r="K11" s="28">
        <v>6.1656004613591149</v>
      </c>
    </row>
    <row r="12" spans="1:11" x14ac:dyDescent="0.3">
      <c r="A12" t="str">
        <f ca="1"/>
        <v>Deepali Charan</v>
      </c>
      <c r="B12" t="str">
        <f ca="1"/>
        <v>Average</v>
      </c>
      <c r="C12">
        <f ca="1"/>
        <v>112650</v>
      </c>
      <c r="H12" s="27" t="s">
        <v>232</v>
      </c>
      <c r="I12" s="28">
        <v>24597.995004680295</v>
      </c>
      <c r="J12" s="28">
        <v>25739.87740625213</v>
      </c>
      <c r="K12" s="28">
        <v>25087.368334177496</v>
      </c>
    </row>
    <row r="13" spans="1:11" x14ac:dyDescent="0.3">
      <c r="A13" t="str">
        <f ca="1"/>
        <v>Mollie Hanway</v>
      </c>
      <c r="B13" t="str">
        <f ca="1"/>
        <v>Average</v>
      </c>
      <c r="C13">
        <f ca="1"/>
        <v>112650</v>
      </c>
      <c r="H13" s="27" t="s">
        <v>233</v>
      </c>
      <c r="I13" s="28">
        <v>0.66060597027194279</v>
      </c>
      <c r="J13" s="28">
        <v>0.64446961592022878</v>
      </c>
      <c r="K13" s="28">
        <v>0.64869585285802434</v>
      </c>
    </row>
    <row r="14" spans="1:11" x14ac:dyDescent="0.3">
      <c r="A14" t="str">
        <f ca="1"/>
        <v>Narois Motiwala</v>
      </c>
      <c r="B14" t="str">
        <f ca="1"/>
        <v>Poor</v>
      </c>
      <c r="C14">
        <f ca="1"/>
        <v>112110</v>
      </c>
    </row>
    <row r="15" spans="1:11" x14ac:dyDescent="0.3">
      <c r="A15" t="str">
        <f ca="1"/>
        <v>Bev Lashley</v>
      </c>
      <c r="B15" t="str">
        <f ca="1"/>
        <v>Poor</v>
      </c>
      <c r="C15">
        <f ca="1"/>
        <v>112110</v>
      </c>
    </row>
    <row r="16" spans="1:11" x14ac:dyDescent="0.3">
      <c r="A16" t="str">
        <f ca="1"/>
        <v>Hridaynath Tendulkar</v>
      </c>
      <c r="B16" t="str">
        <f ca="1"/>
        <v>Average</v>
      </c>
      <c r="C16">
        <f ca="1"/>
        <v>107700</v>
      </c>
    </row>
    <row r="17" spans="1:3" x14ac:dyDescent="0.3">
      <c r="A17" t="str">
        <f ca="1"/>
        <v>Kaine Padly</v>
      </c>
      <c r="B17" t="str">
        <f ca="1"/>
        <v>Average</v>
      </c>
      <c r="C17">
        <f ca="1"/>
        <v>107700</v>
      </c>
    </row>
    <row r="18" spans="1:3" x14ac:dyDescent="0.3">
      <c r="A18" t="str">
        <f ca="1"/>
        <v>Manjusri Ruchi</v>
      </c>
      <c r="B18" t="str">
        <f ca="1"/>
        <v>Average</v>
      </c>
      <c r="C18">
        <f ca="1"/>
        <v>104410</v>
      </c>
    </row>
    <row r="19" spans="1:3" x14ac:dyDescent="0.3">
      <c r="A19" t="str">
        <f ca="1"/>
        <v>Caro Chappel</v>
      </c>
      <c r="B19" t="str">
        <f ca="1"/>
        <v>Average</v>
      </c>
      <c r="C19">
        <f ca="1"/>
        <v>104410</v>
      </c>
    </row>
    <row r="20" spans="1:3" x14ac:dyDescent="0.3">
      <c r="A20" t="str">
        <f ca="1"/>
        <v>Amlankusum Rajabhushan</v>
      </c>
      <c r="B20" t="str">
        <f ca="1"/>
        <v>Average</v>
      </c>
      <c r="C20">
        <f ca="1"/>
        <v>100420</v>
      </c>
    </row>
    <row r="21" spans="1:3" x14ac:dyDescent="0.3">
      <c r="A21" t="str">
        <f ca="1"/>
        <v>Collin Jagson</v>
      </c>
      <c r="B21" t="str">
        <f ca="1"/>
        <v>Average</v>
      </c>
      <c r="C21">
        <f ca="1"/>
        <v>100420</v>
      </c>
    </row>
    <row r="22" spans="1:3" x14ac:dyDescent="0.3">
      <c r="A22" t="str">
        <f ca="1"/>
        <v>Sukhdev Nageshwar</v>
      </c>
      <c r="B22" t="str">
        <f ca="1"/>
        <v>Average</v>
      </c>
      <c r="C22">
        <f ca="1"/>
        <v>96140</v>
      </c>
    </row>
    <row r="23" spans="1:3" x14ac:dyDescent="0.3">
      <c r="A23" t="str">
        <f ca="1"/>
        <v>Torrance Collier</v>
      </c>
      <c r="B23" t="str">
        <f ca="1"/>
        <v>Average</v>
      </c>
      <c r="C23">
        <f ca="1"/>
        <v>96140</v>
      </c>
    </row>
    <row r="24" spans="1:3" x14ac:dyDescent="0.3">
      <c r="A24" t="str">
        <f ca="1"/>
        <v>Rukma Vinita</v>
      </c>
      <c r="B24" t="str">
        <f ca="1"/>
        <v>Average</v>
      </c>
      <c r="C24">
        <f ca="1"/>
        <v>91310</v>
      </c>
    </row>
    <row r="25" spans="1:3" x14ac:dyDescent="0.3">
      <c r="A25" t="str">
        <f ca="1"/>
        <v>Madge McCloughen</v>
      </c>
      <c r="B25" t="str">
        <f ca="1"/>
        <v>Average</v>
      </c>
      <c r="C25">
        <f ca="1"/>
        <v>91310</v>
      </c>
    </row>
    <row r="26" spans="1:3" x14ac:dyDescent="0.3">
      <c r="A26" t="str">
        <f ca="1"/>
        <v>Karuna Pashupathy</v>
      </c>
      <c r="B26" t="str">
        <f ca="1"/>
        <v>Above average</v>
      </c>
      <c r="C26">
        <f ca="1"/>
        <v>90700</v>
      </c>
    </row>
    <row r="27" spans="1:3" x14ac:dyDescent="0.3">
      <c r="A27" t="str">
        <f ca="1"/>
        <v>Dennison Crosswaite</v>
      </c>
      <c r="B27" t="str">
        <f ca="1"/>
        <v>Above average</v>
      </c>
      <c r="C27">
        <f ca="1"/>
        <v>90700</v>
      </c>
    </row>
    <row r="28" spans="1:3" x14ac:dyDescent="0.3">
      <c r="A28" t="str">
        <f ca="1"/>
        <v>Gangadutt Ragha</v>
      </c>
      <c r="B28" t="str">
        <f ca="1"/>
        <v>Poor</v>
      </c>
      <c r="C28">
        <f ca="1"/>
        <v>88050</v>
      </c>
    </row>
    <row r="29" spans="1:3" x14ac:dyDescent="0.3">
      <c r="A29" t="str">
        <f ca="1"/>
        <v>Ches Bonnell</v>
      </c>
      <c r="B29" t="str">
        <f ca="1"/>
        <v>Poor</v>
      </c>
      <c r="C29">
        <f ca="1"/>
        <v>88050</v>
      </c>
    </row>
    <row r="30" spans="1:3" x14ac:dyDescent="0.3">
      <c r="A30" t="str">
        <f ca="1"/>
        <v>Godavari Veena</v>
      </c>
      <c r="B30" t="str">
        <f ca="1"/>
        <v>Average</v>
      </c>
      <c r="C30">
        <f ca="1"/>
        <v>87620</v>
      </c>
    </row>
    <row r="31" spans="1:3" x14ac:dyDescent="0.3">
      <c r="A31" t="str">
        <f ca="1"/>
        <v>Merrilee Plenty</v>
      </c>
      <c r="B31" t="str">
        <f ca="1"/>
        <v>Average</v>
      </c>
      <c r="C31">
        <f ca="1"/>
        <v>87620</v>
      </c>
    </row>
    <row r="32" spans="1:3" x14ac:dyDescent="0.3">
      <c r="A32" t="str">
        <f ca="1"/>
        <v>Kunja Prashanta Vibha</v>
      </c>
      <c r="B32" t="str">
        <f ca="1"/>
        <v>Average</v>
      </c>
      <c r="C32">
        <f ca="1"/>
        <v>83750</v>
      </c>
    </row>
    <row r="33" spans="1:3" x14ac:dyDescent="0.3">
      <c r="A33" t="str">
        <f ca="1"/>
        <v>Agnes Collicott</v>
      </c>
      <c r="B33" t="str">
        <f ca="1"/>
        <v>Average</v>
      </c>
      <c r="C33">
        <f ca="1"/>
        <v>83750</v>
      </c>
    </row>
    <row r="34" spans="1:3" x14ac:dyDescent="0.3">
      <c r="A34" t="str">
        <f ca="1"/>
        <v>Bhuvan Pals</v>
      </c>
      <c r="B34" t="str">
        <f ca="1"/>
        <v>Above average</v>
      </c>
      <c r="C34">
        <f ca="1"/>
        <v>80700</v>
      </c>
    </row>
    <row r="35" spans="1:3" x14ac:dyDescent="0.3">
      <c r="A35" t="str">
        <f ca="1"/>
        <v>Van Tuxwell</v>
      </c>
      <c r="B35" t="str">
        <f ca="1"/>
        <v>Above average</v>
      </c>
      <c r="C35">
        <f ca="1"/>
        <v>80700</v>
      </c>
    </row>
    <row r="36" spans="1:3" x14ac:dyDescent="0.3">
      <c r="A36" t="str">
        <f ca="1"/>
        <v>Ayog Chakrabarti</v>
      </c>
      <c r="B36" t="str">
        <f ca="1"/>
        <v>Very poor</v>
      </c>
      <c r="C36">
        <f ca="1"/>
        <v>75480</v>
      </c>
    </row>
    <row r="37" spans="1:3" x14ac:dyDescent="0.3">
      <c r="A37" t="str">
        <f ca="1"/>
        <v>Camilla Castle</v>
      </c>
      <c r="B37" t="str">
        <f ca="1"/>
        <v>Very poor</v>
      </c>
      <c r="C37">
        <f ca="1"/>
        <v>75480</v>
      </c>
    </row>
    <row r="38" spans="1:3" x14ac:dyDescent="0.3">
      <c r="A38" t="str">
        <f ca="1"/>
        <v>Hemavati Muthiah</v>
      </c>
      <c r="B38" t="str">
        <f ca="1"/>
        <v>Average</v>
      </c>
      <c r="C38">
        <f ca="1"/>
        <v>75280</v>
      </c>
    </row>
    <row r="39" spans="1:3" x14ac:dyDescent="0.3">
      <c r="A39" t="str">
        <f ca="1"/>
        <v>Elia Cockton</v>
      </c>
      <c r="B39" t="str">
        <f ca="1"/>
        <v>Average</v>
      </c>
      <c r="C39">
        <f ca="1"/>
        <v>75280</v>
      </c>
    </row>
    <row r="40" spans="1:3" x14ac:dyDescent="0.3">
      <c r="A40" t="str">
        <f ca="1"/>
        <v>Shekhar Eswara</v>
      </c>
      <c r="B40" t="str">
        <f ca="1"/>
        <v>Average</v>
      </c>
      <c r="C40">
        <f ca="1"/>
        <v>69710</v>
      </c>
    </row>
    <row r="41" spans="1:3" x14ac:dyDescent="0.3">
      <c r="A41" t="str">
        <f ca="1"/>
        <v>Myer McCory</v>
      </c>
      <c r="B41" t="str">
        <f ca="1"/>
        <v>Average</v>
      </c>
      <c r="C41">
        <f ca="1"/>
        <v>69710</v>
      </c>
    </row>
    <row r="42" spans="1:3" x14ac:dyDescent="0.3">
      <c r="A42" t="str">
        <f ca="1"/>
        <v>Rameshwari Chikodi</v>
      </c>
      <c r="B42" t="str">
        <f ca="1"/>
        <v>Average</v>
      </c>
      <c r="C42">
        <f ca="1"/>
        <v>69120</v>
      </c>
    </row>
    <row r="43" spans="1:3" x14ac:dyDescent="0.3">
      <c r="A43" t="str">
        <f ca="1"/>
        <v>Andria Kimpton</v>
      </c>
      <c r="B43" t="str">
        <f ca="1"/>
        <v>Average</v>
      </c>
      <c r="C43">
        <f ca="1"/>
        <v>69120</v>
      </c>
    </row>
    <row r="44" spans="1:3" x14ac:dyDescent="0.3">
      <c r="A44" t="str">
        <f ca="1"/>
        <v>Jaishree Atasi Yavatkar</v>
      </c>
      <c r="B44" t="str">
        <f ca="1"/>
        <v>Average</v>
      </c>
      <c r="C44">
        <f ca="1"/>
        <v>69070</v>
      </c>
    </row>
    <row r="45" spans="1:3" x14ac:dyDescent="0.3">
      <c r="A45" t="str">
        <f ca="1"/>
        <v>Murry Dryburgh</v>
      </c>
      <c r="B45" t="str">
        <f ca="1"/>
        <v>Average</v>
      </c>
      <c r="C45">
        <f ca="1"/>
        <v>69070</v>
      </c>
    </row>
    <row r="46" spans="1:3" x14ac:dyDescent="0.3">
      <c r="A46" t="str">
        <f ca="1"/>
        <v>Fullara Sushanti Mokate</v>
      </c>
      <c r="B46" t="str">
        <f ca="1"/>
        <v>Average</v>
      </c>
      <c r="C46">
        <f ca="1"/>
        <v>62780</v>
      </c>
    </row>
    <row r="47" spans="1:3" x14ac:dyDescent="0.3">
      <c r="A47" t="str">
        <f ca="1"/>
        <v>Vic Radolf</v>
      </c>
      <c r="B47" t="str">
        <f ca="1"/>
        <v>Average</v>
      </c>
      <c r="C47">
        <f ca="1"/>
        <v>62780</v>
      </c>
    </row>
    <row r="48" spans="1:3" x14ac:dyDescent="0.3">
      <c r="A48" t="str">
        <f ca="1"/>
        <v>Pratigya Rema</v>
      </c>
      <c r="B48" t="str">
        <f ca="1"/>
        <v>Average</v>
      </c>
      <c r="C48">
        <f ca="1"/>
        <v>58100</v>
      </c>
    </row>
    <row r="49" spans="1:3" x14ac:dyDescent="0.3">
      <c r="A49" t="str">
        <f ca="1"/>
        <v>Brien Boise</v>
      </c>
      <c r="B49" t="str">
        <f ca="1"/>
        <v>Average</v>
      </c>
      <c r="C49">
        <f ca="1"/>
        <v>58100</v>
      </c>
    </row>
    <row r="50" spans="1:3" x14ac:dyDescent="0.3">
      <c r="A50" t="str">
        <f ca="1"/>
        <v>Pragya Nilufar</v>
      </c>
      <c r="B50" t="str">
        <f ca="1"/>
        <v>Average</v>
      </c>
      <c r="C50">
        <f ca="1"/>
        <v>53870</v>
      </c>
    </row>
    <row r="51" spans="1:3" x14ac:dyDescent="0.3">
      <c r="A51" t="str">
        <f ca="1"/>
        <v>William Reeveley</v>
      </c>
      <c r="B51" t="str">
        <f ca="1"/>
        <v>Average</v>
      </c>
      <c r="C51">
        <f ca="1"/>
        <v>53870</v>
      </c>
    </row>
    <row r="52" spans="1:3" x14ac:dyDescent="0.3">
      <c r="A52" t="str">
        <f ca="1"/>
        <v>Amal Nimesh</v>
      </c>
      <c r="B52" t="str">
        <f ca="1"/>
        <v>Average</v>
      </c>
      <c r="C52">
        <f ca="1"/>
        <v>48950</v>
      </c>
    </row>
    <row r="53" spans="1:3" x14ac:dyDescent="0.3">
      <c r="A53" t="str">
        <f ca="1"/>
        <v>Gunar Cockshoot</v>
      </c>
      <c r="B53" t="str">
        <f ca="1"/>
        <v>Average</v>
      </c>
      <c r="C53">
        <f ca="1"/>
        <v>48950</v>
      </c>
    </row>
    <row r="54" spans="1:3" x14ac:dyDescent="0.3">
      <c r="A54" t="str">
        <f ca="1"/>
        <v>Yagna Sujeev</v>
      </c>
      <c r="B54" t="str">
        <f ca="1"/>
        <v>Above average</v>
      </c>
      <c r="C54">
        <f ca="1"/>
        <v>43840</v>
      </c>
    </row>
    <row r="55" spans="1:3" x14ac:dyDescent="0.3">
      <c r="A55" t="str">
        <f ca="1"/>
        <v>Kassi Jonson</v>
      </c>
      <c r="B55" t="str">
        <f ca="1"/>
        <v>Above average</v>
      </c>
      <c r="C55">
        <f ca="1"/>
        <v>43840</v>
      </c>
    </row>
    <row r="56" spans="1:3" x14ac:dyDescent="0.3">
      <c r="A56" t="str">
        <f ca="1"/>
        <v>Jagajeet Viraj</v>
      </c>
      <c r="B56" t="str">
        <f ca="1"/>
        <v>Average</v>
      </c>
      <c r="C56">
        <f ca="1"/>
        <v>41980</v>
      </c>
    </row>
    <row r="57" spans="1:3" x14ac:dyDescent="0.3">
      <c r="A57" t="str">
        <f ca="1"/>
        <v>Dotty Strutley</v>
      </c>
      <c r="B57" t="str">
        <f ca="1"/>
        <v>Average</v>
      </c>
      <c r="C57">
        <f ca="1"/>
        <v>41980</v>
      </c>
    </row>
    <row r="58" spans="1:3" x14ac:dyDescent="0.3">
      <c r="A58" t="str">
        <f ca="1"/>
        <v>Suchira Bhanupriya Tapti</v>
      </c>
      <c r="B58" t="str">
        <f ca="1"/>
        <v>Average</v>
      </c>
      <c r="C58">
        <f ca="1"/>
        <v>34980</v>
      </c>
    </row>
    <row r="59" spans="1:3" x14ac:dyDescent="0.3">
      <c r="A59" t="str">
        <f ca="1"/>
        <v>Niall Selesnick</v>
      </c>
      <c r="B59" t="str">
        <f ca="1"/>
        <v>Average</v>
      </c>
      <c r="C59">
        <f ca="1"/>
        <v>34980</v>
      </c>
    </row>
    <row r="60" spans="1:3" x14ac:dyDescent="0.3">
      <c r="A60" t="str">
        <f ca="1"/>
        <v>Shubhra Potla</v>
      </c>
      <c r="B60" t="str">
        <f ca="1"/>
        <v>Average</v>
      </c>
      <c r="C60">
        <f ca="1"/>
        <v>33920</v>
      </c>
    </row>
    <row r="61" spans="1:3" x14ac:dyDescent="0.3">
      <c r="A61" t="str">
        <f ca="1"/>
        <v>Gretchen Callow</v>
      </c>
      <c r="B61" t="str">
        <f ca="1"/>
        <v>Average</v>
      </c>
      <c r="C61">
        <f ca="1"/>
        <v>33920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75FA5-9CFD-4750-84D8-A5517BA0D680}">
  <sheetPr>
    <tabColor rgb="FFFFFF00"/>
  </sheetPr>
  <dimension ref="A1"/>
  <sheetViews>
    <sheetView topLeftCell="A10" workbookViewId="0">
      <selection activeCell="C1" sqref="C1"/>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9A0FA-1289-4CC8-A7F1-807CE613363C}">
  <sheetPr>
    <tabColor rgb="FFFFFF00"/>
  </sheetPr>
  <dimension ref="B2:V41"/>
  <sheetViews>
    <sheetView workbookViewId="0">
      <selection activeCell="S26" sqref="S26"/>
    </sheetView>
  </sheetViews>
  <sheetFormatPr defaultRowHeight="14.4" x14ac:dyDescent="0.3"/>
  <cols>
    <col min="2" max="2" width="17.33203125" bestFit="1" customWidth="1"/>
    <col min="3" max="3" width="10.6640625" bestFit="1" customWidth="1"/>
    <col min="4" max="4" width="13.6640625" bestFit="1" customWidth="1"/>
    <col min="5" max="5" width="7.88671875" bestFit="1" customWidth="1"/>
    <col min="6" max="6" width="5" bestFit="1" customWidth="1"/>
    <col min="7" max="7" width="9.33203125" bestFit="1" customWidth="1"/>
    <col min="8" max="8" width="10.77734375" bestFit="1" customWidth="1"/>
    <col min="10" max="10" width="12.5546875" bestFit="1" customWidth="1"/>
    <col min="11" max="11" width="13.88671875" bestFit="1" customWidth="1"/>
    <col min="12" max="18" width="11.21875" bestFit="1" customWidth="1"/>
    <col min="19" max="19" width="11.44140625" customWidth="1"/>
    <col min="20" max="20" width="16.77734375" style="32" bestFit="1" customWidth="1"/>
    <col min="21" max="78" width="11.21875" bestFit="1" customWidth="1"/>
    <col min="79" max="100" width="12.77734375" bestFit="1" customWidth="1"/>
    <col min="101" max="101" width="11.88671875" bestFit="1" customWidth="1"/>
  </cols>
  <sheetData>
    <row r="2" spans="2:22" x14ac:dyDescent="0.3">
      <c r="S2" t="s">
        <v>255</v>
      </c>
      <c r="T2" s="32" t="s">
        <v>253</v>
      </c>
      <c r="U2" t="s">
        <v>221</v>
      </c>
      <c r="V2" t="s">
        <v>254</v>
      </c>
    </row>
    <row r="3" spans="2:22" x14ac:dyDescent="0.3">
      <c r="S3" cm="1">
        <f t="array" ref="S3:S38">_xlfn.SEQUENCE(36)</f>
        <v>1</v>
      </c>
      <c r="T3" s="32" cm="1">
        <f t="array" ref="T3:T38">EDATE(DATE(2020,4,1),_xlfn.ANCHORARRAY(S3)+0)</f>
        <v>43952</v>
      </c>
      <c r="U3">
        <f>COUNTIFS(Staff[Date Joined],"&gt;="&amp;T3,Staff[Date Joined],"&lt;="&amp;EOMONTH(T3,0))</f>
        <v>3</v>
      </c>
      <c r="V3">
        <f>SUM(U$3:U3)</f>
        <v>3</v>
      </c>
    </row>
    <row r="4" spans="2:22" x14ac:dyDescent="0.3">
      <c r="J4" s="26" t="s">
        <v>234</v>
      </c>
      <c r="K4" t="s">
        <v>222</v>
      </c>
      <c r="S4">
        <v>2</v>
      </c>
      <c r="T4" s="32">
        <v>43983</v>
      </c>
      <c r="U4">
        <f>COUNTIFS(Staff[Date Joined],"&gt;="&amp;T4,Staff[Date Joined],"&lt;="&amp;EOMONTH(T4,0))</f>
        <v>1</v>
      </c>
      <c r="V4">
        <f>SUM(U$3:U4)</f>
        <v>4</v>
      </c>
    </row>
    <row r="5" spans="2:22" x14ac:dyDescent="0.3">
      <c r="J5" s="27" t="s">
        <v>238</v>
      </c>
      <c r="K5" s="28"/>
      <c r="S5">
        <v>3</v>
      </c>
      <c r="T5" s="32">
        <v>44013</v>
      </c>
      <c r="U5">
        <f>COUNTIFS(Staff[Date Joined],"&gt;="&amp;T5,Staff[Date Joined],"&lt;="&amp;EOMONTH(T5,0))</f>
        <v>5</v>
      </c>
      <c r="V5">
        <f>SUM(U$3:U5)</f>
        <v>9</v>
      </c>
    </row>
    <row r="6" spans="2:22" x14ac:dyDescent="0.3">
      <c r="B6" s="26" t="s">
        <v>236</v>
      </c>
      <c r="C6" s="26" t="s">
        <v>235</v>
      </c>
      <c r="J6" s="31" t="s">
        <v>241</v>
      </c>
      <c r="K6" s="28">
        <v>3</v>
      </c>
      <c r="S6">
        <v>4</v>
      </c>
      <c r="T6" s="32">
        <v>44044</v>
      </c>
      <c r="U6">
        <f>COUNTIFS(Staff[Date Joined],"&gt;="&amp;T6,Staff[Date Joined],"&lt;="&amp;EOMONTH(T6,0))</f>
        <v>3</v>
      </c>
      <c r="V6">
        <f>SUM(U$3:U6)</f>
        <v>12</v>
      </c>
    </row>
    <row r="7" spans="2:22" x14ac:dyDescent="0.3">
      <c r="B7" s="26" t="s">
        <v>2</v>
      </c>
      <c r="C7" t="s">
        <v>10</v>
      </c>
      <c r="D7" t="s">
        <v>13</v>
      </c>
      <c r="E7" t="s">
        <v>16</v>
      </c>
      <c r="F7" t="s">
        <v>24</v>
      </c>
      <c r="G7" t="s">
        <v>42</v>
      </c>
      <c r="H7" t="s">
        <v>220</v>
      </c>
      <c r="J7" s="31" t="s">
        <v>242</v>
      </c>
      <c r="K7" s="28">
        <v>4</v>
      </c>
      <c r="S7">
        <v>5</v>
      </c>
      <c r="T7" s="32">
        <v>44075</v>
      </c>
      <c r="U7">
        <f>COUNTIFS(Staff[Date Joined],"&gt;="&amp;T7,Staff[Date Joined],"&lt;="&amp;EOMONTH(T7,0))</f>
        <v>6</v>
      </c>
      <c r="V7">
        <f>SUM(U$3:U7)</f>
        <v>18</v>
      </c>
    </row>
    <row r="8" spans="2:22" x14ac:dyDescent="0.3">
      <c r="B8" s="27" t="s">
        <v>21</v>
      </c>
      <c r="C8" s="28"/>
      <c r="D8" s="28">
        <v>4</v>
      </c>
      <c r="E8" s="28">
        <v>26</v>
      </c>
      <c r="F8" s="28">
        <v>8</v>
      </c>
      <c r="G8" s="28"/>
      <c r="H8" s="28">
        <v>38</v>
      </c>
      <c r="J8" s="31" t="s">
        <v>243</v>
      </c>
      <c r="K8" s="28">
        <v>9</v>
      </c>
      <c r="S8">
        <v>6</v>
      </c>
      <c r="T8" s="32">
        <v>44105</v>
      </c>
      <c r="U8">
        <f>COUNTIFS(Staff[Date Joined],"&gt;="&amp;T8,Staff[Date Joined],"&lt;="&amp;EOMONTH(T8,0))</f>
        <v>6</v>
      </c>
      <c r="V8">
        <f>SUM(U$3:U8)</f>
        <v>24</v>
      </c>
    </row>
    <row r="9" spans="2:22" x14ac:dyDescent="0.3">
      <c r="B9" s="27" t="s">
        <v>56</v>
      </c>
      <c r="C9" s="28"/>
      <c r="D9" s="28"/>
      <c r="E9" s="28">
        <v>8</v>
      </c>
      <c r="F9" s="28"/>
      <c r="G9" s="28"/>
      <c r="H9" s="28">
        <v>8</v>
      </c>
      <c r="J9" s="31" t="s">
        <v>244</v>
      </c>
      <c r="K9" s="28">
        <v>12</v>
      </c>
      <c r="S9">
        <v>7</v>
      </c>
      <c r="T9" s="32">
        <v>44136</v>
      </c>
      <c r="U9">
        <f>COUNTIFS(Staff[Date Joined],"&gt;="&amp;T9,Staff[Date Joined],"&lt;="&amp;EOMONTH(T9,0))</f>
        <v>6</v>
      </c>
      <c r="V9">
        <f>SUM(U$3:U9)</f>
        <v>30</v>
      </c>
    </row>
    <row r="10" spans="2:22" x14ac:dyDescent="0.3">
      <c r="B10" s="27" t="s">
        <v>9</v>
      </c>
      <c r="C10" s="28">
        <v>2</v>
      </c>
      <c r="D10" s="28">
        <v>6</v>
      </c>
      <c r="E10" s="28">
        <v>45</v>
      </c>
      <c r="F10" s="28"/>
      <c r="G10" s="28">
        <v>2</v>
      </c>
      <c r="H10" s="28">
        <v>55</v>
      </c>
      <c r="J10" s="31" t="s">
        <v>245</v>
      </c>
      <c r="K10" s="28">
        <v>18</v>
      </c>
      <c r="S10">
        <v>8</v>
      </c>
      <c r="T10" s="32">
        <v>44166</v>
      </c>
      <c r="U10">
        <f>COUNTIFS(Staff[Date Joined],"&gt;="&amp;T10,Staff[Date Joined],"&lt;="&amp;EOMONTH(T10,0))</f>
        <v>7</v>
      </c>
      <c r="V10">
        <f>SUM(U$3:U10)</f>
        <v>37</v>
      </c>
    </row>
    <row r="11" spans="2:22" x14ac:dyDescent="0.3">
      <c r="B11" s="27" t="s">
        <v>19</v>
      </c>
      <c r="C11" s="28">
        <v>2</v>
      </c>
      <c r="D11" s="28">
        <v>4</v>
      </c>
      <c r="E11" s="28">
        <v>16</v>
      </c>
      <c r="F11" s="28">
        <v>4</v>
      </c>
      <c r="G11" s="28">
        <v>2</v>
      </c>
      <c r="H11" s="28">
        <v>28</v>
      </c>
      <c r="J11" s="31" t="s">
        <v>246</v>
      </c>
      <c r="K11" s="28">
        <v>24</v>
      </c>
      <c r="S11">
        <v>9</v>
      </c>
      <c r="T11" s="32">
        <v>44197</v>
      </c>
      <c r="U11">
        <f>COUNTIFS(Staff[Date Joined],"&gt;="&amp;T11,Staff[Date Joined],"&lt;="&amp;EOMONTH(T11,0))</f>
        <v>6</v>
      </c>
      <c r="V11">
        <f>SUM(U$3:U11)</f>
        <v>43</v>
      </c>
    </row>
    <row r="12" spans="2:22" x14ac:dyDescent="0.3">
      <c r="B12" s="27" t="s">
        <v>12</v>
      </c>
      <c r="C12" s="28"/>
      <c r="D12" s="28">
        <v>6</v>
      </c>
      <c r="E12" s="28">
        <v>42</v>
      </c>
      <c r="F12" s="28">
        <v>4</v>
      </c>
      <c r="G12" s="28">
        <v>2</v>
      </c>
      <c r="H12" s="28">
        <v>54</v>
      </c>
      <c r="J12" s="31" t="s">
        <v>247</v>
      </c>
      <c r="K12" s="28">
        <v>30</v>
      </c>
      <c r="S12">
        <v>10</v>
      </c>
      <c r="T12" s="32">
        <v>44228</v>
      </c>
      <c r="U12">
        <f>COUNTIFS(Staff[Date Joined],"&gt;="&amp;T12,Staff[Date Joined],"&lt;="&amp;EOMONTH(T12,0))</f>
        <v>4</v>
      </c>
      <c r="V12">
        <f>SUM(U$3:U12)</f>
        <v>47</v>
      </c>
    </row>
    <row r="13" spans="2:22" x14ac:dyDescent="0.3">
      <c r="B13" s="27" t="s">
        <v>220</v>
      </c>
      <c r="C13" s="28">
        <v>4</v>
      </c>
      <c r="D13" s="28">
        <v>20</v>
      </c>
      <c r="E13" s="28">
        <v>137</v>
      </c>
      <c r="F13" s="28">
        <v>16</v>
      </c>
      <c r="G13" s="28">
        <v>6</v>
      </c>
      <c r="H13" s="28">
        <v>183</v>
      </c>
      <c r="J13" s="31" t="s">
        <v>248</v>
      </c>
      <c r="K13" s="28">
        <v>37</v>
      </c>
      <c r="S13">
        <v>11</v>
      </c>
      <c r="T13" s="32">
        <v>44256</v>
      </c>
      <c r="U13">
        <f>COUNTIFS(Staff[Date Joined],"&gt;="&amp;T13,Staff[Date Joined],"&lt;="&amp;EOMONTH(T13,0))</f>
        <v>9</v>
      </c>
      <c r="V13">
        <f>SUM(U$3:U13)</f>
        <v>56</v>
      </c>
    </row>
    <row r="14" spans="2:22" x14ac:dyDescent="0.3">
      <c r="J14" s="27" t="s">
        <v>239</v>
      </c>
      <c r="K14" s="28"/>
      <c r="S14">
        <v>12</v>
      </c>
      <c r="T14" s="32">
        <v>44287</v>
      </c>
      <c r="U14">
        <f>COUNTIFS(Staff[Date Joined],"&gt;="&amp;T14,Staff[Date Joined],"&lt;="&amp;EOMONTH(T14,0))</f>
        <v>5</v>
      </c>
      <c r="V14">
        <f>SUM(U$3:U14)</f>
        <v>61</v>
      </c>
    </row>
    <row r="15" spans="2:22" x14ac:dyDescent="0.3">
      <c r="J15" s="31" t="s">
        <v>249</v>
      </c>
      <c r="K15" s="28">
        <v>6</v>
      </c>
      <c r="S15">
        <v>13</v>
      </c>
      <c r="T15" s="32">
        <v>44317</v>
      </c>
      <c r="U15">
        <f>COUNTIFS(Staff[Date Joined],"&gt;="&amp;T15,Staff[Date Joined],"&lt;="&amp;EOMONTH(T15,0))</f>
        <v>10</v>
      </c>
      <c r="V15">
        <f>SUM(U$3:U15)</f>
        <v>71</v>
      </c>
    </row>
    <row r="16" spans="2:22" x14ac:dyDescent="0.3">
      <c r="J16" s="31" t="s">
        <v>250</v>
      </c>
      <c r="K16" s="28">
        <v>10</v>
      </c>
      <c r="S16">
        <v>14</v>
      </c>
      <c r="T16" s="32">
        <v>44348</v>
      </c>
      <c r="U16">
        <f>COUNTIFS(Staff[Date Joined],"&gt;="&amp;T16,Staff[Date Joined],"&lt;="&amp;EOMONTH(T16,0))</f>
        <v>6</v>
      </c>
      <c r="V16">
        <f>SUM(U$3:U16)</f>
        <v>77</v>
      </c>
    </row>
    <row r="17" spans="10:22" x14ac:dyDescent="0.3">
      <c r="J17" s="31" t="s">
        <v>251</v>
      </c>
      <c r="K17" s="28">
        <v>19</v>
      </c>
      <c r="S17">
        <v>15</v>
      </c>
      <c r="T17" s="32">
        <v>44378</v>
      </c>
      <c r="U17">
        <f>COUNTIFS(Staff[Date Joined],"&gt;="&amp;T17,Staff[Date Joined],"&lt;="&amp;EOMONTH(T17,0))</f>
        <v>13</v>
      </c>
      <c r="V17">
        <f>SUM(U$3:U17)</f>
        <v>90</v>
      </c>
    </row>
    <row r="18" spans="10:22" x14ac:dyDescent="0.3">
      <c r="J18" s="31" t="s">
        <v>252</v>
      </c>
      <c r="K18" s="28">
        <v>24</v>
      </c>
      <c r="S18">
        <v>16</v>
      </c>
      <c r="T18" s="32">
        <v>44409</v>
      </c>
      <c r="U18">
        <f>COUNTIFS(Staff[Date Joined],"&gt;="&amp;T18,Staff[Date Joined],"&lt;="&amp;EOMONTH(T18,0))</f>
        <v>4</v>
      </c>
      <c r="V18">
        <f>SUM(U$3:U18)</f>
        <v>94</v>
      </c>
    </row>
    <row r="19" spans="10:22" x14ac:dyDescent="0.3">
      <c r="J19" s="31" t="s">
        <v>241</v>
      </c>
      <c r="K19" s="28">
        <v>34</v>
      </c>
      <c r="S19">
        <v>17</v>
      </c>
      <c r="T19" s="32">
        <v>44440</v>
      </c>
      <c r="U19">
        <f>COUNTIFS(Staff[Date Joined],"&gt;="&amp;T19,Staff[Date Joined],"&lt;="&amp;EOMONTH(T19,0))</f>
        <v>11</v>
      </c>
      <c r="V19">
        <f>SUM(U$3:U19)</f>
        <v>105</v>
      </c>
    </row>
    <row r="20" spans="10:22" x14ac:dyDescent="0.3">
      <c r="J20" s="31" t="s">
        <v>242</v>
      </c>
      <c r="K20" s="28">
        <v>40</v>
      </c>
      <c r="S20">
        <v>18</v>
      </c>
      <c r="T20" s="32">
        <v>44470</v>
      </c>
      <c r="U20">
        <f>COUNTIFS(Staff[Date Joined],"&gt;="&amp;T20,Staff[Date Joined],"&lt;="&amp;EOMONTH(T20,0))</f>
        <v>3</v>
      </c>
      <c r="V20">
        <f>SUM(U$3:U20)</f>
        <v>108</v>
      </c>
    </row>
    <row r="21" spans="10:22" x14ac:dyDescent="0.3">
      <c r="J21" s="31" t="s">
        <v>243</v>
      </c>
      <c r="K21" s="28">
        <v>53</v>
      </c>
      <c r="S21">
        <v>19</v>
      </c>
      <c r="T21" s="32">
        <v>44501</v>
      </c>
      <c r="U21">
        <f>COUNTIFS(Staff[Date Joined],"&gt;="&amp;T21,Staff[Date Joined],"&lt;="&amp;EOMONTH(T21,0))</f>
        <v>4</v>
      </c>
      <c r="V21">
        <f>SUM(U$3:U21)</f>
        <v>112</v>
      </c>
    </row>
    <row r="22" spans="10:22" x14ac:dyDescent="0.3">
      <c r="J22" s="31" t="s">
        <v>244</v>
      </c>
      <c r="K22" s="28">
        <v>57</v>
      </c>
      <c r="S22">
        <v>20</v>
      </c>
      <c r="T22" s="32">
        <v>44531</v>
      </c>
      <c r="U22">
        <f>COUNTIFS(Staff[Date Joined],"&gt;="&amp;T22,Staff[Date Joined],"&lt;="&amp;EOMONTH(T22,0))</f>
        <v>7</v>
      </c>
      <c r="V22">
        <f>SUM(U$3:U22)</f>
        <v>119</v>
      </c>
    </row>
    <row r="23" spans="10:22" x14ac:dyDescent="0.3">
      <c r="J23" s="31" t="s">
        <v>245</v>
      </c>
      <c r="K23" s="28">
        <v>68</v>
      </c>
      <c r="S23">
        <v>21</v>
      </c>
      <c r="T23" s="32">
        <v>44562</v>
      </c>
      <c r="U23">
        <f>COUNTIFS(Staff[Date Joined],"&gt;="&amp;T23,Staff[Date Joined],"&lt;="&amp;EOMONTH(T23,0))</f>
        <v>3</v>
      </c>
      <c r="V23">
        <f>SUM(U$3:U23)</f>
        <v>122</v>
      </c>
    </row>
    <row r="24" spans="10:22" x14ac:dyDescent="0.3">
      <c r="J24" s="31" t="s">
        <v>246</v>
      </c>
      <c r="K24" s="28">
        <v>71</v>
      </c>
      <c r="S24">
        <v>22</v>
      </c>
      <c r="T24" s="32">
        <v>44593</v>
      </c>
      <c r="U24">
        <f>COUNTIFS(Staff[Date Joined],"&gt;="&amp;T24,Staff[Date Joined],"&lt;="&amp;EOMONTH(T24,0))</f>
        <v>10</v>
      </c>
      <c r="V24">
        <f>SUM(U$3:U24)</f>
        <v>132</v>
      </c>
    </row>
    <row r="25" spans="10:22" x14ac:dyDescent="0.3">
      <c r="J25" s="31" t="s">
        <v>247</v>
      </c>
      <c r="K25" s="28">
        <v>75</v>
      </c>
      <c r="S25">
        <v>23</v>
      </c>
      <c r="T25" s="32">
        <v>44621</v>
      </c>
      <c r="U25">
        <f>COUNTIFS(Staff[Date Joined],"&gt;="&amp;T25,Staff[Date Joined],"&lt;="&amp;EOMONTH(T25,0))</f>
        <v>9</v>
      </c>
      <c r="V25">
        <f>SUM(U$3:U25)</f>
        <v>141</v>
      </c>
    </row>
    <row r="26" spans="10:22" x14ac:dyDescent="0.3">
      <c r="J26" s="31" t="s">
        <v>248</v>
      </c>
      <c r="K26" s="28">
        <v>82</v>
      </c>
      <c r="S26">
        <v>24</v>
      </c>
      <c r="T26" s="32">
        <v>44652</v>
      </c>
      <c r="U26">
        <f>COUNTIFS(Staff[Date Joined],"&gt;="&amp;T26,Staff[Date Joined],"&lt;="&amp;EOMONTH(T26,0))</f>
        <v>9</v>
      </c>
      <c r="V26">
        <f>SUM(U$3:U26)</f>
        <v>150</v>
      </c>
    </row>
    <row r="27" spans="10:22" x14ac:dyDescent="0.3">
      <c r="J27" s="27" t="s">
        <v>237</v>
      </c>
      <c r="K27" s="28"/>
      <c r="S27">
        <v>25</v>
      </c>
      <c r="T27" s="32">
        <v>44682</v>
      </c>
      <c r="U27">
        <f>COUNTIFS(Staff[Date Joined],"&gt;="&amp;T27,Staff[Date Joined],"&lt;="&amp;EOMONTH(T27,0))</f>
        <v>9</v>
      </c>
      <c r="V27">
        <f>SUM(U$3:U27)</f>
        <v>159</v>
      </c>
    </row>
    <row r="28" spans="10:22" x14ac:dyDescent="0.3">
      <c r="J28" s="31" t="s">
        <v>249</v>
      </c>
      <c r="K28" s="28">
        <v>3</v>
      </c>
      <c r="S28">
        <v>26</v>
      </c>
      <c r="T28" s="32">
        <v>44713</v>
      </c>
      <c r="U28">
        <f>COUNTIFS(Staff[Date Joined],"&gt;="&amp;T28,Staff[Date Joined],"&lt;="&amp;EOMONTH(T28,0))</f>
        <v>7</v>
      </c>
      <c r="V28">
        <f>SUM(U$3:U28)</f>
        <v>166</v>
      </c>
    </row>
    <row r="29" spans="10:22" x14ac:dyDescent="0.3">
      <c r="J29" s="31" t="s">
        <v>250</v>
      </c>
      <c r="K29" s="28">
        <v>13</v>
      </c>
      <c r="S29">
        <v>27</v>
      </c>
      <c r="T29" s="32">
        <v>44743</v>
      </c>
      <c r="U29">
        <f>COUNTIFS(Staff[Date Joined],"&gt;="&amp;T29,Staff[Date Joined],"&lt;="&amp;EOMONTH(T29,0))</f>
        <v>5</v>
      </c>
      <c r="V29">
        <f>SUM(U$3:U29)</f>
        <v>171</v>
      </c>
    </row>
    <row r="30" spans="10:22" x14ac:dyDescent="0.3">
      <c r="J30" s="31" t="s">
        <v>251</v>
      </c>
      <c r="K30" s="28">
        <v>22</v>
      </c>
      <c r="S30">
        <v>28</v>
      </c>
      <c r="T30" s="32">
        <v>44774</v>
      </c>
      <c r="U30">
        <f>COUNTIFS(Staff[Date Joined],"&gt;="&amp;T30,Staff[Date Joined],"&lt;="&amp;EOMONTH(T30,0))</f>
        <v>5</v>
      </c>
      <c r="V30">
        <f>SUM(U$3:U30)</f>
        <v>176</v>
      </c>
    </row>
    <row r="31" spans="10:22" x14ac:dyDescent="0.3">
      <c r="J31" s="31" t="s">
        <v>252</v>
      </c>
      <c r="K31" s="28">
        <v>31</v>
      </c>
      <c r="S31">
        <v>29</v>
      </c>
      <c r="T31" s="32">
        <v>44805</v>
      </c>
      <c r="U31">
        <f>COUNTIFS(Staff[Date Joined],"&gt;="&amp;T31,Staff[Date Joined],"&lt;="&amp;EOMONTH(T31,0))</f>
        <v>2</v>
      </c>
      <c r="V31">
        <f>SUM(U$3:U31)</f>
        <v>178</v>
      </c>
    </row>
    <row r="32" spans="10:22" x14ac:dyDescent="0.3">
      <c r="J32" s="31" t="s">
        <v>241</v>
      </c>
      <c r="K32" s="28">
        <v>40</v>
      </c>
      <c r="S32">
        <v>30</v>
      </c>
      <c r="T32" s="32">
        <v>44835</v>
      </c>
      <c r="U32">
        <f>COUNTIFS(Staff[Date Joined],"&gt;="&amp;T32,Staff[Date Joined],"&lt;="&amp;EOMONTH(T32,0))</f>
        <v>3</v>
      </c>
      <c r="V32">
        <f>SUM(U$3:U32)</f>
        <v>181</v>
      </c>
    </row>
    <row r="33" spans="10:22" x14ac:dyDescent="0.3">
      <c r="J33" s="31" t="s">
        <v>242</v>
      </c>
      <c r="K33" s="28">
        <v>47</v>
      </c>
      <c r="S33">
        <v>31</v>
      </c>
      <c r="T33" s="32">
        <v>44866</v>
      </c>
      <c r="U33">
        <f>COUNTIFS(Staff[Date Joined],"&gt;="&amp;T33,Staff[Date Joined],"&lt;="&amp;EOMONTH(T33,0))</f>
        <v>0</v>
      </c>
      <c r="V33">
        <f>SUM(U$3:U33)</f>
        <v>181</v>
      </c>
    </row>
    <row r="34" spans="10:22" x14ac:dyDescent="0.3">
      <c r="J34" s="31" t="s">
        <v>243</v>
      </c>
      <c r="K34" s="28">
        <v>52</v>
      </c>
      <c r="S34">
        <v>32</v>
      </c>
      <c r="T34" s="32">
        <v>44896</v>
      </c>
      <c r="U34">
        <f>COUNTIFS(Staff[Date Joined],"&gt;="&amp;T34,Staff[Date Joined],"&lt;="&amp;EOMONTH(T34,0))</f>
        <v>0</v>
      </c>
      <c r="V34">
        <f>SUM(U$3:U34)</f>
        <v>181</v>
      </c>
    </row>
    <row r="35" spans="10:22" x14ac:dyDescent="0.3">
      <c r="J35" s="31" t="s">
        <v>244</v>
      </c>
      <c r="K35" s="28">
        <v>57</v>
      </c>
      <c r="S35">
        <v>33</v>
      </c>
      <c r="T35" s="32">
        <v>44927</v>
      </c>
      <c r="U35">
        <f>COUNTIFS(Staff[Date Joined],"&gt;="&amp;T35,Staff[Date Joined],"&lt;="&amp;EOMONTH(T35,0))</f>
        <v>0</v>
      </c>
      <c r="V35">
        <f>SUM(U$3:U35)</f>
        <v>181</v>
      </c>
    </row>
    <row r="36" spans="10:22" x14ac:dyDescent="0.3">
      <c r="J36" s="31" t="s">
        <v>245</v>
      </c>
      <c r="K36" s="28">
        <v>59</v>
      </c>
      <c r="S36">
        <v>34</v>
      </c>
      <c r="T36" s="32">
        <v>44958</v>
      </c>
      <c r="U36">
        <f>COUNTIFS(Staff[Date Joined],"&gt;="&amp;T36,Staff[Date Joined],"&lt;="&amp;EOMONTH(T36,0))</f>
        <v>1</v>
      </c>
      <c r="V36">
        <f>SUM(U$3:U36)</f>
        <v>182</v>
      </c>
    </row>
    <row r="37" spans="10:22" x14ac:dyDescent="0.3">
      <c r="J37" s="31" t="s">
        <v>246</v>
      </c>
      <c r="K37" s="28">
        <v>62</v>
      </c>
      <c r="S37">
        <v>35</v>
      </c>
      <c r="T37" s="32">
        <v>44986</v>
      </c>
      <c r="U37">
        <f>COUNTIFS(Staff[Date Joined],"&gt;="&amp;T37,Staff[Date Joined],"&lt;="&amp;EOMONTH(T37,0))</f>
        <v>0</v>
      </c>
      <c r="V37">
        <f>SUM(U$3:U37)</f>
        <v>182</v>
      </c>
    </row>
    <row r="38" spans="10:22" x14ac:dyDescent="0.3">
      <c r="J38" s="27" t="s">
        <v>240</v>
      </c>
      <c r="K38" s="28"/>
      <c r="S38">
        <v>36</v>
      </c>
      <c r="T38" s="32">
        <v>45017</v>
      </c>
      <c r="U38">
        <f>COUNTIFS(Staff[Date Joined],"&gt;="&amp;T38,Staff[Date Joined],"&lt;="&amp;EOMONTH(T38,0))</f>
        <v>1</v>
      </c>
      <c r="V38">
        <f>SUM(U$3:U38)</f>
        <v>183</v>
      </c>
    </row>
    <row r="39" spans="10:22" x14ac:dyDescent="0.3">
      <c r="J39" s="31" t="s">
        <v>250</v>
      </c>
      <c r="K39" s="28">
        <v>1</v>
      </c>
    </row>
    <row r="40" spans="10:22" x14ac:dyDescent="0.3">
      <c r="J40" s="31" t="s">
        <v>252</v>
      </c>
      <c r="K40" s="28">
        <v>2</v>
      </c>
    </row>
    <row r="41" spans="10:22" x14ac:dyDescent="0.3">
      <c r="J41" s="27" t="s">
        <v>220</v>
      </c>
      <c r="K41" s="28"/>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5C0E1-8468-46ED-A9BA-05A2B295A0A4}">
  <sheetPr>
    <tabColor rgb="FFFFFF00"/>
  </sheetPr>
  <dimension ref="A1:G20"/>
  <sheetViews>
    <sheetView topLeftCell="A4" workbookViewId="0">
      <selection activeCell="J11" sqref="J11"/>
    </sheetView>
  </sheetViews>
  <sheetFormatPr defaultRowHeight="14.4" x14ac:dyDescent="0.3"/>
  <cols>
    <col min="1" max="1" width="12.5546875" bestFit="1" customWidth="1"/>
    <col min="2" max="2" width="13.33203125" bestFit="1" customWidth="1"/>
    <col min="3" max="3" width="12.88671875" bestFit="1" customWidth="1"/>
    <col min="4" max="4" width="13.88671875" bestFit="1" customWidth="1"/>
    <col min="5" max="5" width="12.5546875" bestFit="1" customWidth="1"/>
    <col min="6" max="6" width="13.33203125" bestFit="1" customWidth="1"/>
    <col min="7" max="7" width="12.88671875" bestFit="1" customWidth="1"/>
  </cols>
  <sheetData>
    <row r="1" spans="1:7" x14ac:dyDescent="0.3">
      <c r="A1" s="26" t="s">
        <v>203</v>
      </c>
      <c r="B1" t="s" vm="1">
        <v>204</v>
      </c>
      <c r="D1" s="26" t="s">
        <v>203</v>
      </c>
      <c r="E1" t="s" vm="2">
        <v>206</v>
      </c>
    </row>
    <row r="3" spans="1:7" x14ac:dyDescent="0.3">
      <c r="A3" s="26" t="s">
        <v>234</v>
      </c>
      <c r="B3" t="s">
        <v>222</v>
      </c>
      <c r="D3" s="26" t="s">
        <v>234</v>
      </c>
      <c r="E3" t="s">
        <v>222</v>
      </c>
    </row>
    <row r="4" spans="1:7" x14ac:dyDescent="0.3">
      <c r="A4" s="27" t="s">
        <v>9</v>
      </c>
      <c r="B4" s="28">
        <v>28</v>
      </c>
      <c r="D4" s="27" t="s">
        <v>12</v>
      </c>
      <c r="E4" s="28">
        <v>27</v>
      </c>
    </row>
    <row r="5" spans="1:7" x14ac:dyDescent="0.3">
      <c r="A5" s="27" t="s">
        <v>12</v>
      </c>
      <c r="B5" s="28">
        <v>27</v>
      </c>
      <c r="D5" s="27" t="s">
        <v>9</v>
      </c>
      <c r="E5" s="28">
        <v>27</v>
      </c>
    </row>
    <row r="6" spans="1:7" x14ac:dyDescent="0.3">
      <c r="A6" s="27" t="s">
        <v>21</v>
      </c>
      <c r="B6" s="28">
        <v>19</v>
      </c>
      <c r="D6" s="27" t="s">
        <v>21</v>
      </c>
      <c r="E6" s="28">
        <v>19</v>
      </c>
    </row>
    <row r="7" spans="1:7" x14ac:dyDescent="0.3">
      <c r="A7" s="27" t="s">
        <v>19</v>
      </c>
      <c r="B7" s="28">
        <v>14</v>
      </c>
      <c r="D7" s="27" t="s">
        <v>19</v>
      </c>
      <c r="E7" s="28">
        <v>14</v>
      </c>
    </row>
    <row r="8" spans="1:7" x14ac:dyDescent="0.3">
      <c r="A8" s="27" t="s">
        <v>56</v>
      </c>
      <c r="B8" s="28">
        <v>4</v>
      </c>
      <c r="D8" s="27" t="s">
        <v>56</v>
      </c>
      <c r="E8" s="28">
        <v>4</v>
      </c>
    </row>
    <row r="9" spans="1:7" x14ac:dyDescent="0.3">
      <c r="A9" s="27" t="s">
        <v>220</v>
      </c>
      <c r="B9" s="28">
        <v>92</v>
      </c>
      <c r="D9" s="27" t="s">
        <v>220</v>
      </c>
      <c r="E9" s="28">
        <v>91</v>
      </c>
    </row>
    <row r="12" spans="1:7" x14ac:dyDescent="0.3">
      <c r="A12" s="26" t="s">
        <v>203</v>
      </c>
      <c r="B12" t="s" vm="2">
        <v>206</v>
      </c>
      <c r="E12" s="26" t="s">
        <v>203</v>
      </c>
      <c r="F12" t="s" vm="1">
        <v>204</v>
      </c>
    </row>
    <row r="14" spans="1:7" x14ac:dyDescent="0.3">
      <c r="A14" s="26" t="s">
        <v>234</v>
      </c>
      <c r="B14" t="s">
        <v>258</v>
      </c>
      <c r="C14" t="s">
        <v>259</v>
      </c>
      <c r="E14" s="26" t="s">
        <v>234</v>
      </c>
      <c r="F14" t="s">
        <v>258</v>
      </c>
      <c r="G14" t="s">
        <v>259</v>
      </c>
    </row>
    <row r="15" spans="1:7" x14ac:dyDescent="0.3">
      <c r="A15" s="27" t="s">
        <v>21</v>
      </c>
      <c r="B15" s="28">
        <v>5.6520547945205477</v>
      </c>
      <c r="C15" s="28">
        <v>3.547945205479452</v>
      </c>
      <c r="E15" s="27" t="s">
        <v>21</v>
      </c>
      <c r="F15" s="28">
        <v>5.8191780821917805</v>
      </c>
      <c r="G15" s="28">
        <v>3.7178082191780821</v>
      </c>
    </row>
    <row r="16" spans="1:7" x14ac:dyDescent="0.3">
      <c r="A16" s="27" t="s">
        <v>56</v>
      </c>
      <c r="B16" s="28">
        <v>5.4301369863013695</v>
      </c>
      <c r="C16" s="28">
        <v>4.5287671232876709</v>
      </c>
      <c r="E16" s="27" t="s">
        <v>56</v>
      </c>
      <c r="F16" s="28">
        <v>5.5972602739726032</v>
      </c>
      <c r="G16" s="28">
        <v>4.6986301369863011</v>
      </c>
    </row>
    <row r="17" spans="1:7" x14ac:dyDescent="0.3">
      <c r="A17" s="27" t="s">
        <v>9</v>
      </c>
      <c r="B17" s="28">
        <v>5.5315068493150683</v>
      </c>
      <c r="C17" s="28">
        <v>3.4054794520547946</v>
      </c>
      <c r="E17" s="27" t="s">
        <v>9</v>
      </c>
      <c r="F17" s="28">
        <v>5.7013698630136984</v>
      </c>
      <c r="G17" s="28">
        <v>3.5726027397260274</v>
      </c>
    </row>
    <row r="18" spans="1:7" x14ac:dyDescent="0.3">
      <c r="A18" s="27" t="s">
        <v>19</v>
      </c>
      <c r="B18" s="28">
        <v>5.397260273972603</v>
      </c>
      <c r="C18" s="28">
        <v>3.5178082191780824</v>
      </c>
      <c r="E18" s="27" t="s">
        <v>19</v>
      </c>
      <c r="F18" s="28">
        <v>5.5643835616438357</v>
      </c>
      <c r="G18" s="28">
        <v>3.6876712328767125</v>
      </c>
    </row>
    <row r="19" spans="1:7" x14ac:dyDescent="0.3">
      <c r="A19" s="27" t="s">
        <v>12</v>
      </c>
      <c r="B19" s="28">
        <v>5.7123287671232879</v>
      </c>
      <c r="C19" s="28">
        <v>2.9013698630136986</v>
      </c>
      <c r="E19" s="27" t="s">
        <v>12</v>
      </c>
      <c r="F19" s="28">
        <v>5.8794520547945206</v>
      </c>
      <c r="G19" s="28">
        <v>3.0657534246575344</v>
      </c>
    </row>
    <row r="20" spans="1:7" x14ac:dyDescent="0.3">
      <c r="A20" s="27" t="s">
        <v>220</v>
      </c>
      <c r="B20" s="28">
        <v>5.7123287671232879</v>
      </c>
      <c r="C20" s="28">
        <v>2.9013698630136986</v>
      </c>
      <c r="E20" s="27" t="s">
        <v>220</v>
      </c>
      <c r="F20" s="28">
        <v>5.8794520547945206</v>
      </c>
      <c r="G20" s="28">
        <v>3.0657534246575344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78280-3BCD-472C-8FBF-9E8B874F398C}">
  <sheetPr>
    <tabColor theme="4"/>
  </sheetPr>
  <dimension ref="B2:L28"/>
  <sheetViews>
    <sheetView tabSelected="1" zoomScale="96" zoomScaleNormal="96" workbookViewId="0">
      <selection activeCell="F50" sqref="F50"/>
    </sheetView>
  </sheetViews>
  <sheetFormatPr defaultRowHeight="14.4" x14ac:dyDescent="0.3"/>
  <cols>
    <col min="2" max="2" width="26.6640625" customWidth="1"/>
    <col min="3" max="3" width="2.6640625" customWidth="1"/>
    <col min="4" max="4" width="26.6640625" customWidth="1"/>
    <col min="5" max="5" width="2.6640625" customWidth="1"/>
    <col min="6" max="6" width="26.6640625" customWidth="1"/>
    <col min="8" max="8" width="26.6640625" customWidth="1"/>
    <col min="9" max="9" width="2.6640625" customWidth="1"/>
    <col min="10" max="10" width="26.6640625" customWidth="1"/>
    <col min="11" max="11" width="2.6640625" customWidth="1"/>
    <col min="12" max="12" width="26.6640625" customWidth="1"/>
  </cols>
  <sheetData>
    <row r="2" spans="2:12" ht="66" customHeight="1" x14ac:dyDescent="0.3">
      <c r="B2" s="41" t="s">
        <v>206</v>
      </c>
      <c r="C2" s="41"/>
      <c r="D2" s="41"/>
      <c r="E2" s="41"/>
      <c r="F2" s="41"/>
      <c r="H2" s="42" t="s">
        <v>204</v>
      </c>
      <c r="I2" s="42"/>
      <c r="J2" s="42"/>
      <c r="K2" s="42"/>
      <c r="L2" s="42"/>
    </row>
    <row r="3" spans="2:12" ht="13.8" customHeight="1" x14ac:dyDescent="0.3">
      <c r="B3" s="43"/>
      <c r="C3" s="43"/>
      <c r="D3" s="43"/>
      <c r="E3" s="43"/>
      <c r="F3" s="43"/>
      <c r="H3" s="43"/>
      <c r="I3" s="43"/>
      <c r="J3" s="43"/>
      <c r="K3" s="43"/>
      <c r="L3" s="43"/>
    </row>
    <row r="4" spans="2:12" ht="33.6" customHeight="1" x14ac:dyDescent="0.3">
      <c r="B4" s="44" t="s">
        <v>256</v>
      </c>
      <c r="C4" s="34"/>
      <c r="D4" s="44" t="s">
        <v>210</v>
      </c>
      <c r="E4" s="34"/>
      <c r="F4" s="44" t="s">
        <v>209</v>
      </c>
      <c r="H4" s="45" t="s">
        <v>256</v>
      </c>
      <c r="I4" s="34"/>
      <c r="J4" s="45" t="s">
        <v>210</v>
      </c>
      <c r="K4" s="34"/>
      <c r="L4" s="45" t="s">
        <v>209</v>
      </c>
    </row>
    <row r="5" spans="2:12" ht="7.8" customHeight="1" x14ac:dyDescent="0.3"/>
    <row r="6" spans="2:12" ht="59.4" customHeight="1" x14ac:dyDescent="0.3">
      <c r="B6" s="36">
        <f>COUNTIF(Staff[Country],"Nz")</f>
        <v>91</v>
      </c>
      <c r="C6" s="34"/>
      <c r="D6" s="37">
        <f>COUNTIFS(Staff[Country],"Nz",Staff[Gender],"Female")/B6</f>
        <v>0.47252747252747251</v>
      </c>
      <c r="E6" s="34"/>
      <c r="F6" s="38">
        <f>AVERAGEIF(Staff[Country],"Nz",Staff[Salary])</f>
        <v>76978.791208791212</v>
      </c>
      <c r="H6" s="35">
        <f>COUNTIF(Staff[Country],"Ind")</f>
        <v>92</v>
      </c>
      <c r="I6" s="34"/>
      <c r="J6" s="39">
        <f>COUNTIFS(Staff[Country],"Ind",Staff[Gender],"Female")/H6</f>
        <v>0.46739130434782611</v>
      </c>
      <c r="K6" s="34"/>
      <c r="L6" s="40">
        <f>AVERAGEIF(Staff[Country],"Ind",Staff[Salary])</f>
        <v>77366.521739130432</v>
      </c>
    </row>
    <row r="7" spans="2:12" ht="10.8" customHeight="1" x14ac:dyDescent="0.3"/>
    <row r="8" spans="2:12" ht="40.799999999999997" customHeight="1" x14ac:dyDescent="0.3">
      <c r="B8" s="46" t="s">
        <v>257</v>
      </c>
      <c r="C8" s="46"/>
      <c r="D8" s="46"/>
      <c r="E8" s="46"/>
      <c r="F8" s="46"/>
      <c r="G8" s="46"/>
      <c r="H8" s="46"/>
      <c r="I8" s="46"/>
      <c r="J8" s="46"/>
      <c r="K8" s="46"/>
      <c r="L8" s="46"/>
    </row>
    <row r="10" spans="2:12" x14ac:dyDescent="0.3">
      <c r="B10" s="33"/>
      <c r="C10" s="33"/>
      <c r="D10" s="33"/>
      <c r="E10" s="33"/>
      <c r="F10" s="33"/>
      <c r="H10" s="33"/>
      <c r="I10" s="33"/>
      <c r="J10" s="33"/>
      <c r="K10" s="33"/>
      <c r="L10" s="33"/>
    </row>
    <row r="11" spans="2:12" x14ac:dyDescent="0.3">
      <c r="B11" s="33"/>
      <c r="C11" s="33"/>
      <c r="D11" s="33"/>
      <c r="E11" s="33"/>
      <c r="F11" s="33"/>
      <c r="H11" s="33"/>
      <c r="I11" s="33"/>
      <c r="J11" s="33"/>
      <c r="K11" s="33"/>
      <c r="L11" s="33"/>
    </row>
    <row r="12" spans="2:12" x14ac:dyDescent="0.3">
      <c r="B12" s="33"/>
      <c r="C12" s="33"/>
      <c r="D12" s="33"/>
      <c r="E12" s="33"/>
      <c r="F12" s="33"/>
      <c r="H12" s="33"/>
      <c r="I12" s="33"/>
      <c r="J12" s="33"/>
      <c r="K12" s="33"/>
      <c r="L12" s="33"/>
    </row>
    <row r="13" spans="2:12" x14ac:dyDescent="0.3">
      <c r="B13" s="33"/>
      <c r="C13" s="33"/>
      <c r="D13" s="33"/>
      <c r="E13" s="33"/>
      <c r="F13" s="33"/>
      <c r="H13" s="33"/>
      <c r="I13" s="33"/>
      <c r="J13" s="33"/>
      <c r="K13" s="33"/>
      <c r="L13" s="33"/>
    </row>
    <row r="14" spans="2:12" x14ac:dyDescent="0.3">
      <c r="B14" s="33"/>
      <c r="C14" s="33"/>
      <c r="D14" s="33"/>
      <c r="E14" s="33"/>
      <c r="F14" s="33"/>
      <c r="H14" s="33"/>
      <c r="I14" s="33"/>
      <c r="J14" s="33"/>
      <c r="K14" s="33"/>
      <c r="L14" s="33"/>
    </row>
    <row r="15" spans="2:12" x14ac:dyDescent="0.3">
      <c r="B15" s="33"/>
      <c r="C15" s="33"/>
      <c r="D15" s="33"/>
      <c r="E15" s="33"/>
      <c r="F15" s="33"/>
      <c r="H15" s="33"/>
      <c r="I15" s="33"/>
      <c r="J15" s="33"/>
      <c r="K15" s="33"/>
      <c r="L15" s="33"/>
    </row>
    <row r="16" spans="2:12" x14ac:dyDescent="0.3">
      <c r="B16" s="33"/>
      <c r="C16" s="33"/>
      <c r="D16" s="33"/>
      <c r="E16" s="33"/>
      <c r="F16" s="33"/>
      <c r="H16" s="33"/>
      <c r="I16" s="33"/>
      <c r="J16" s="33"/>
      <c r="K16" s="33"/>
      <c r="L16" s="33"/>
    </row>
    <row r="17" spans="2:12" x14ac:dyDescent="0.3">
      <c r="B17" s="33"/>
      <c r="C17" s="33"/>
      <c r="D17" s="33"/>
      <c r="E17" s="33"/>
      <c r="F17" s="33"/>
      <c r="H17" s="33"/>
      <c r="I17" s="33"/>
      <c r="J17" s="33"/>
      <c r="K17" s="33"/>
      <c r="L17" s="33"/>
    </row>
    <row r="18" spans="2:12" x14ac:dyDescent="0.3">
      <c r="B18" s="33"/>
      <c r="C18" s="33"/>
      <c r="D18" s="33"/>
      <c r="E18" s="33"/>
      <c r="F18" s="33"/>
      <c r="H18" s="33"/>
      <c r="I18" s="33"/>
      <c r="J18" s="33"/>
      <c r="K18" s="33"/>
      <c r="L18" s="33"/>
    </row>
    <row r="19" spans="2:12" x14ac:dyDescent="0.3">
      <c r="B19" s="33"/>
      <c r="C19" s="33"/>
      <c r="D19" s="33"/>
      <c r="E19" s="33"/>
      <c r="F19" s="33"/>
      <c r="H19" s="33"/>
      <c r="I19" s="33"/>
      <c r="J19" s="33"/>
      <c r="K19" s="33"/>
      <c r="L19" s="33"/>
    </row>
    <row r="20" spans="2:12" x14ac:dyDescent="0.3">
      <c r="B20" s="33"/>
      <c r="C20" s="33"/>
      <c r="D20" s="33"/>
      <c r="E20" s="33"/>
      <c r="F20" s="33"/>
      <c r="H20" s="33"/>
      <c r="I20" s="33"/>
      <c r="J20" s="33"/>
      <c r="K20" s="33"/>
      <c r="L20" s="33"/>
    </row>
    <row r="21" spans="2:12" x14ac:dyDescent="0.3">
      <c r="B21" s="33"/>
      <c r="C21" s="33"/>
      <c r="D21" s="33"/>
      <c r="E21" s="33"/>
      <c r="F21" s="33"/>
      <c r="H21" s="33"/>
      <c r="I21" s="33"/>
      <c r="J21" s="33"/>
      <c r="K21" s="33"/>
      <c r="L21" s="33"/>
    </row>
    <row r="22" spans="2:12" x14ac:dyDescent="0.3">
      <c r="B22" s="33"/>
      <c r="C22" s="33"/>
      <c r="D22" s="33"/>
      <c r="E22" s="33"/>
      <c r="F22" s="33"/>
      <c r="H22" s="33"/>
      <c r="I22" s="33"/>
      <c r="J22" s="33"/>
      <c r="K22" s="33"/>
      <c r="L22" s="33"/>
    </row>
    <row r="23" spans="2:12" x14ac:dyDescent="0.3">
      <c r="B23" s="33"/>
      <c r="C23" s="33"/>
      <c r="D23" s="33"/>
      <c r="E23" s="33"/>
      <c r="F23" s="33"/>
      <c r="H23" s="33"/>
      <c r="I23" s="33"/>
      <c r="J23" s="33"/>
      <c r="K23" s="33"/>
      <c r="L23" s="33"/>
    </row>
    <row r="24" spans="2:12" x14ac:dyDescent="0.3">
      <c r="B24" s="33"/>
      <c r="C24" s="33"/>
      <c r="D24" s="33"/>
      <c r="E24" s="33"/>
      <c r="F24" s="33"/>
      <c r="H24" s="33"/>
      <c r="I24" s="33"/>
      <c r="J24" s="33"/>
      <c r="K24" s="33"/>
      <c r="L24" s="33"/>
    </row>
    <row r="25" spans="2:12" x14ac:dyDescent="0.3">
      <c r="B25" s="33"/>
      <c r="C25" s="33"/>
      <c r="D25" s="33"/>
      <c r="E25" s="33"/>
      <c r="F25" s="33"/>
      <c r="H25" s="33"/>
      <c r="I25" s="33"/>
      <c r="J25" s="33"/>
      <c r="K25" s="33"/>
      <c r="L25" s="33"/>
    </row>
    <row r="26" spans="2:12" x14ac:dyDescent="0.3">
      <c r="B26" s="33"/>
      <c r="C26" s="33"/>
      <c r="D26" s="33"/>
      <c r="E26" s="33"/>
      <c r="F26" s="33"/>
      <c r="H26" s="33"/>
      <c r="I26" s="33"/>
      <c r="J26" s="33"/>
      <c r="K26" s="33"/>
      <c r="L26" s="33"/>
    </row>
    <row r="27" spans="2:12" x14ac:dyDescent="0.3">
      <c r="B27" s="33"/>
      <c r="C27" s="33"/>
      <c r="D27" s="33"/>
      <c r="E27" s="33"/>
      <c r="F27" s="33"/>
      <c r="H27" s="33"/>
      <c r="I27" s="33"/>
      <c r="J27" s="33"/>
      <c r="K27" s="33"/>
      <c r="L27" s="33"/>
    </row>
    <row r="28" spans="2:12" x14ac:dyDescent="0.3">
      <c r="B28" s="33"/>
      <c r="C28" s="33"/>
      <c r="D28" s="33"/>
      <c r="E28" s="33"/>
      <c r="F28" s="33"/>
      <c r="H28" s="33"/>
      <c r="I28" s="33"/>
      <c r="J28" s="33"/>
      <c r="K28" s="33"/>
      <c r="L28" s="33"/>
    </row>
  </sheetData>
  <mergeCells count="3">
    <mergeCell ref="B2:F2"/>
    <mergeCell ref="H2:L2"/>
    <mergeCell ref="B8:L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D7C7266-0B76-4FF5-A29B-2B747480A2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India Staff</vt:lpstr>
      <vt:lpstr>Staff</vt:lpstr>
      <vt:lpstr>Finder</vt:lpstr>
      <vt:lpstr>Salary Distribution</vt:lpstr>
      <vt:lpstr>Running Total</vt:lpstr>
      <vt:lpstr>Headcount</vt:lpstr>
      <vt:lpstr>Final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kvansh Kumar</cp:lastModifiedBy>
  <dcterms:created xsi:type="dcterms:W3CDTF">2021-03-14T20:21:32Z</dcterms:created>
  <dcterms:modified xsi:type="dcterms:W3CDTF">2026-03-24T11:40:56Z</dcterms:modified>
</cp:coreProperties>
</file>